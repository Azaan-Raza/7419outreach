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Settings" sheetId="3" state="visible" r:id="rId3"/>
    <sheet name="Members" sheetId="4" state="visible" r:id="rId4"/>
    <sheet name="Sessions" sheetId="5" state="visible" r:id="rId5"/>
    <sheet name="Sign up" sheetId="6" state="visible" r:id="rId6"/>
    <sheet name="Log hours" sheetId="7" state="visible" r:id="rId7"/>
  </sheets>
  <definedNames>
    <definedName name="SemesterName">Settings!$B$4</definedName>
    <definedName name="SemesterStart">Settings!$B$5</definedName>
    <definedName name="SemesterEnd">Settings!$B$6</definedName>
    <definedName name="RequiredHours">Settings!$B$7</definedName>
    <definedName name="PhotoObject">Settings!$B$8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d, yyyy"/>
    <numFmt numFmtId="166" formatCode="0.##"/>
  </numFmts>
  <fonts count="11">
    <font>
      <name val="Calibri"/>
      <family val="2"/>
      <color theme="1"/>
      <sz val="11"/>
      <scheme val="minor"/>
    </font>
    <font>
      <name val="Georgia"/>
      <b val="1"/>
      <color rgb="0011224E"/>
      <sz val="20"/>
    </font>
    <font>
      <name val="Calibri"/>
      <i val="1"/>
      <color rgb="008A8575"/>
      <sz val="11"/>
    </font>
    <font>
      <name val="Calibri"/>
      <b val="1"/>
      <color rgb="0011224E"/>
      <sz val="12"/>
    </font>
    <font>
      <name val="Calibri"/>
      <color rgb="0011224E"/>
      <sz val="11"/>
    </font>
    <font>
      <name val="Calibri"/>
      <b val="1"/>
      <color rgb="0011224E"/>
      <sz val="11"/>
    </font>
    <font>
      <name val="Calibri"/>
      <b val="1"/>
      <color rgb="00FFC14A"/>
      <sz val="11"/>
    </font>
    <font>
      <name val="Georgia"/>
      <b val="1"/>
      <color rgb="0011224E"/>
      <sz val="24"/>
    </font>
    <font>
      <name val="Calibri"/>
      <b val="1"/>
      <color rgb="008A8575"/>
      <sz val="9"/>
    </font>
    <font>
      <name val="Georgia"/>
      <b val="1"/>
      <color rgb="0011224E"/>
      <sz val="14"/>
    </font>
    <font>
      <name val="Consolas"/>
      <color rgb="00926408"/>
      <sz val="11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1224E"/>
      </patternFill>
    </fill>
    <fill>
      <patternFill patternType="solid">
        <fgColor rgb="00F5F5EE"/>
      </patternFill>
    </fill>
  </fills>
  <borders count="2">
    <border>
      <left/>
      <right/>
      <top/>
      <bottom/>
      <diagonal/>
    </border>
    <border>
      <left style="thin">
        <color rgb="00D9D9CF"/>
      </left>
      <right style="thin">
        <color rgb="00D9D9CF"/>
      </right>
      <top style="thin">
        <color rgb="00D9D9CF"/>
      </top>
      <bottom style="thin">
        <color rgb="00D9D9C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6" fontId="7" fillId="4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 indent="1"/>
    </xf>
    <xf numFmtId="0" fontId="9" fillId="0" borderId="0" pivotButton="0" quotePrefix="0" xfId="0"/>
    <xf numFmtId="0" fontId="6" fillId="3" borderId="0" applyAlignment="1" pivotButton="0" quotePrefix="0" xfId="0">
      <alignment vertical="center" wrapText="1"/>
    </xf>
    <xf numFmtId="0" fontId="4" fillId="0" borderId="0" pivotButton="0" quotePrefix="0" xfId="0"/>
    <xf numFmtId="2" fontId="4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0" fontId="4" fillId="2" borderId="1" pivotButton="0" quotePrefix="0" xfId="0"/>
    <xf numFmtId="165" fontId="4" fillId="2" borderId="1" pivotButton="0" quotePrefix="0" xfId="0"/>
    <xf numFmtId="165" fontId="4" fillId="0" borderId="0" pivotButton="0" quotePrefix="0" xfId="0"/>
    <xf numFmtId="9" fontId="4" fillId="0" borderId="0" pivotButton="0" quotePrefix="0" xfId="0"/>
    <xf numFmtId="18" fontId="4" fillId="0" borderId="0" pivotButton="0" quotePrefix="0" xfId="0"/>
    <xf numFmtId="18" fontId="4" fillId="2" borderId="1" pivotButton="0" quotePrefix="0" xfId="0"/>
  </cellXfs>
  <cellStyles count="1">
    <cellStyle name="Normal" xfId="0" builtinId="0" hidden="0"/>
  </cellStyles>
  <dxfs count="5">
    <dxf>
      <font>
        <b val="1"/>
        <color rgb="00926408"/>
      </font>
    </dxf>
    <dxf>
      <font>
        <b val="1"/>
        <color rgb="00FFC14A"/>
      </font>
      <fill>
        <patternFill patternType="solid">
          <fgColor rgb="0011224E"/>
        </patternFill>
      </fill>
    </dxf>
    <dxf>
      <font>
        <b val="1"/>
        <color rgb="0011224E"/>
      </font>
      <fill>
        <patternFill patternType="solid">
          <fgColor rgb="00FFC14A"/>
        </patternFill>
      </fill>
    </dxf>
    <dxf>
      <font>
        <b val="1"/>
        <color rgb="00DC2626"/>
      </font>
    </dxf>
    <dxf>
      <font>
        <i val="1"/>
        <color rgb="008A857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224E"/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Outreach Tracker — Team 7419</t>
        </is>
      </c>
    </row>
    <row r="2">
      <c r="A2" s="2" t="inlineStr">
        <is>
          <t>The spreadsheet version of the tracker. Everything counts toward the semester in Settings.</t>
        </is>
      </c>
    </row>
    <row r="4">
      <c r="A4" s="3" t="inlineStr">
        <is>
          <t>How it works</t>
        </is>
      </c>
    </row>
    <row r="5">
      <c r="A5" s="4" t="inlineStr">
        <is>
          <t>1. Members sign up once on the Sign up sheet (or a lead adds them straight into Members).</t>
        </is>
      </c>
    </row>
    <row r="6">
      <c r="A6" s="4" t="inlineStr">
        <is>
          <t>2. Each outreach shift goes on the Sessions sheet: date, member email, event, clock in, clock out, and links to the two photos.</t>
        </is>
      </c>
    </row>
    <row r="7">
      <c r="A7" s="4" t="inlineStr">
        <is>
          <t>3. A lead sets Status to Approved (and can override the hours) or Sent back with a note.</t>
        </is>
      </c>
    </row>
    <row r="8">
      <c r="A8" s="4" t="inlineStr">
        <is>
          <t>4. Members shows approved hours, hours waiting on review, and a progress bar against the required hours.</t>
        </is>
      </c>
    </row>
    <row r="9">
      <c r="A9" s="4" t="inlineStr"/>
    </row>
    <row r="10">
      <c r="A10" s="3" t="inlineStr">
        <is>
          <t>Scripts</t>
        </is>
      </c>
    </row>
    <row r="11">
      <c r="A11" s="4" t="inlineStr">
        <is>
          <t>Excel on the web / Microsoft 365: Automate → New Script → paste OutreachTracker.ts → save. Add a button on the Sign up and Log hours sheets that runs it.</t>
        </is>
      </c>
    </row>
    <row r="12">
      <c r="A12" s="4" t="inlineStr">
        <is>
          <t>Desktop Excel: import OutreachTracker.bas (Developer → Visual Basic → File → Import) and save the workbook as .xlsm. Macros: SignUp, LogSession, RunForms, ApproveSelected, SendBackSelected, ShowProgress.</t>
        </is>
      </c>
    </row>
    <row r="13">
      <c r="A13" s="4" t="inlineStr"/>
    </row>
    <row r="14">
      <c r="A14" s="3" t="inlineStr">
        <is>
          <t>From the web app</t>
        </is>
      </c>
    </row>
    <row r="15">
      <c r="A15" s="4" t="inlineStr">
        <is>
          <t>Leads can download all sessions as a .csv from the Members tab. Its columns line up with the Sessions sheet, so you can paste the rows straight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14A"/>
    <outlinePr summaryBelow="1" summaryRight="1"/>
    <pageSetUpPr/>
  </sheetPr>
  <dimension ref="A1:E6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0" customWidth="1" min="3" max="3"/>
    <col width="14" customWidth="1" min="4" max="4"/>
    <col width="12" customWidth="1" min="5" max="5"/>
  </cols>
  <sheetData>
    <row r="1">
      <c r="A1" s="1" t="inlineStr">
        <is>
          <t>Outreach Tracker</t>
        </is>
      </c>
    </row>
    <row r="2">
      <c r="A2" s="2">
        <f>SemesterName</f>
        <v/>
      </c>
    </row>
    <row r="3">
      <c r="A3" s="2" t="inlineStr">
        <is>
          <t>Run the script or open Members for the live numbers.</t>
        </is>
      </c>
    </row>
    <row r="5" ht="40" customHeight="1">
      <c r="A5" s="5">
        <f>COUNTA(Members!B2:B301)</f>
        <v/>
      </c>
      <c r="B5" s="5">
        <f>COUNTIF(Members!H:H,"Done")</f>
        <v/>
      </c>
      <c r="C5" s="5">
        <f>SUM(Members!E2:E301)</f>
        <v/>
      </c>
      <c r="D5" s="5">
        <f>COUNTIF(Sessions!G:G,"Waiting")</f>
        <v/>
      </c>
      <c r="E5" s="5">
        <f>SUM(Members!I2:I301)</f>
        <v/>
      </c>
    </row>
    <row r="6">
      <c r="A6" s="6" t="inlineStr">
        <is>
          <t>MEMBERS</t>
        </is>
      </c>
      <c r="B6" s="6" t="inlineStr">
        <is>
          <t>DONE</t>
        </is>
      </c>
      <c r="C6" s="6" t="inlineStr">
        <is>
          <t>HOURS APPROVED</t>
        </is>
      </c>
      <c r="D6" s="6" t="inlineStr">
        <is>
          <t>SESSIONS WAITING</t>
        </is>
      </c>
      <c r="E6" s="6" t="inlineStr">
        <is>
          <t>HOURS STILL OWED</t>
        </is>
      </c>
    </row>
    <row r="8">
      <c r="A8" s="7" t="inlineStr">
        <is>
          <t>Progress by member</t>
        </is>
      </c>
    </row>
    <row r="9" ht="30" customHeight="1">
      <c r="A9" s="8" t="inlineStr">
        <is>
          <t>Member</t>
        </is>
      </c>
      <c r="B9" s="8" t="inlineStr">
        <is>
          <t>Approved</t>
        </is>
      </c>
      <c r="C9" s="8" t="inlineStr">
        <is>
          <t>Progress</t>
        </is>
      </c>
      <c r="D9" s="8" t="inlineStr">
        <is>
          <t>Status</t>
        </is>
      </c>
      <c r="E9" s="8" t="inlineStr">
        <is>
          <t>To go</t>
        </is>
      </c>
    </row>
    <row r="10">
      <c r="A10" s="9">
        <f>IF(Members!B2="","",Members!A2)</f>
        <v/>
      </c>
      <c r="B10" s="10">
        <f>IF(Members!B2="","",Members!E2)</f>
        <v/>
      </c>
      <c r="C10" s="11">
        <f>IF(Members!B2="","",REPT("█",ROUND(Members!G2*20,0))&amp;REPT("░",20-ROUND(Members!G2*20,0)))</f>
        <v/>
      </c>
      <c r="D10" s="9">
        <f>IF(Members!B2="","",Members!H2)</f>
        <v/>
      </c>
      <c r="E10" s="10">
        <f>IF(Members!B2="","",Members!I2)</f>
        <v/>
      </c>
    </row>
    <row r="11">
      <c r="A11" s="9">
        <f>IF(Members!B3="","",Members!A3)</f>
        <v/>
      </c>
      <c r="B11" s="10">
        <f>IF(Members!B3="","",Members!E3)</f>
        <v/>
      </c>
      <c r="C11" s="11">
        <f>IF(Members!B3="","",REPT("█",ROUND(Members!G3*20,0))&amp;REPT("░",20-ROUND(Members!G3*20,0)))</f>
        <v/>
      </c>
      <c r="D11" s="9">
        <f>IF(Members!B3="","",Members!H3)</f>
        <v/>
      </c>
      <c r="E11" s="10">
        <f>IF(Members!B3="","",Members!I3)</f>
        <v/>
      </c>
    </row>
    <row r="12">
      <c r="A12" s="9">
        <f>IF(Members!B4="","",Members!A4)</f>
        <v/>
      </c>
      <c r="B12" s="10">
        <f>IF(Members!B4="","",Members!E4)</f>
        <v/>
      </c>
      <c r="C12" s="11">
        <f>IF(Members!B4="","",REPT("█",ROUND(Members!G4*20,0))&amp;REPT("░",20-ROUND(Members!G4*20,0)))</f>
        <v/>
      </c>
      <c r="D12" s="9">
        <f>IF(Members!B4="","",Members!H4)</f>
        <v/>
      </c>
      <c r="E12" s="10">
        <f>IF(Members!B4="","",Members!I4)</f>
        <v/>
      </c>
    </row>
    <row r="13">
      <c r="A13" s="9">
        <f>IF(Members!B5="","",Members!A5)</f>
        <v/>
      </c>
      <c r="B13" s="10">
        <f>IF(Members!B5="","",Members!E5)</f>
        <v/>
      </c>
      <c r="C13" s="11">
        <f>IF(Members!B5="","",REPT("█",ROUND(Members!G5*20,0))&amp;REPT("░",20-ROUND(Members!G5*20,0)))</f>
        <v/>
      </c>
      <c r="D13" s="9">
        <f>IF(Members!B5="","",Members!H5)</f>
        <v/>
      </c>
      <c r="E13" s="10">
        <f>IF(Members!B5="","",Members!I5)</f>
        <v/>
      </c>
    </row>
    <row r="14">
      <c r="A14" s="9">
        <f>IF(Members!B6="","",Members!A6)</f>
        <v/>
      </c>
      <c r="B14" s="10">
        <f>IF(Members!B6="","",Members!E6)</f>
        <v/>
      </c>
      <c r="C14" s="11">
        <f>IF(Members!B6="","",REPT("█",ROUND(Members!G6*20,0))&amp;REPT("░",20-ROUND(Members!G6*20,0)))</f>
        <v/>
      </c>
      <c r="D14" s="9">
        <f>IF(Members!B6="","",Members!H6)</f>
        <v/>
      </c>
      <c r="E14" s="10">
        <f>IF(Members!B6="","",Members!I6)</f>
        <v/>
      </c>
    </row>
    <row r="15">
      <c r="A15" s="9">
        <f>IF(Members!B7="","",Members!A7)</f>
        <v/>
      </c>
      <c r="B15" s="10">
        <f>IF(Members!B7="","",Members!E7)</f>
        <v/>
      </c>
      <c r="C15" s="11">
        <f>IF(Members!B7="","",REPT("█",ROUND(Members!G7*20,0))&amp;REPT("░",20-ROUND(Members!G7*20,0)))</f>
        <v/>
      </c>
      <c r="D15" s="9">
        <f>IF(Members!B7="","",Members!H7)</f>
        <v/>
      </c>
      <c r="E15" s="10">
        <f>IF(Members!B7="","",Members!I7)</f>
        <v/>
      </c>
    </row>
    <row r="16">
      <c r="A16" s="9">
        <f>IF(Members!B8="","",Members!A8)</f>
        <v/>
      </c>
      <c r="B16" s="10">
        <f>IF(Members!B8="","",Members!E8)</f>
        <v/>
      </c>
      <c r="C16" s="11">
        <f>IF(Members!B8="","",REPT("█",ROUND(Members!G8*20,0))&amp;REPT("░",20-ROUND(Members!G8*20,0)))</f>
        <v/>
      </c>
      <c r="D16" s="9">
        <f>IF(Members!B8="","",Members!H8)</f>
        <v/>
      </c>
      <c r="E16" s="10">
        <f>IF(Members!B8="","",Members!I8)</f>
        <v/>
      </c>
    </row>
    <row r="17">
      <c r="A17" s="9">
        <f>IF(Members!B9="","",Members!A9)</f>
        <v/>
      </c>
      <c r="B17" s="10">
        <f>IF(Members!B9="","",Members!E9)</f>
        <v/>
      </c>
      <c r="C17" s="11">
        <f>IF(Members!B9="","",REPT("█",ROUND(Members!G9*20,0))&amp;REPT("░",20-ROUND(Members!G9*20,0)))</f>
        <v/>
      </c>
      <c r="D17" s="9">
        <f>IF(Members!B9="","",Members!H9)</f>
        <v/>
      </c>
      <c r="E17" s="10">
        <f>IF(Members!B9="","",Members!I9)</f>
        <v/>
      </c>
    </row>
    <row r="18">
      <c r="A18" s="9">
        <f>IF(Members!B10="","",Members!A10)</f>
        <v/>
      </c>
      <c r="B18" s="10">
        <f>IF(Members!B10="","",Members!E10)</f>
        <v/>
      </c>
      <c r="C18" s="11">
        <f>IF(Members!B10="","",REPT("█",ROUND(Members!G10*20,0))&amp;REPT("░",20-ROUND(Members!G10*20,0)))</f>
        <v/>
      </c>
      <c r="D18" s="9">
        <f>IF(Members!B10="","",Members!H10)</f>
        <v/>
      </c>
      <c r="E18" s="10">
        <f>IF(Members!B10="","",Members!I10)</f>
        <v/>
      </c>
    </row>
    <row r="19">
      <c r="A19" s="9">
        <f>IF(Members!B11="","",Members!A11)</f>
        <v/>
      </c>
      <c r="B19" s="10">
        <f>IF(Members!B11="","",Members!E11)</f>
        <v/>
      </c>
      <c r="C19" s="11">
        <f>IF(Members!B11="","",REPT("█",ROUND(Members!G11*20,0))&amp;REPT("░",20-ROUND(Members!G11*20,0)))</f>
        <v/>
      </c>
      <c r="D19" s="9">
        <f>IF(Members!B11="","",Members!H11)</f>
        <v/>
      </c>
      <c r="E19" s="10">
        <f>IF(Members!B11="","",Members!I11)</f>
        <v/>
      </c>
    </row>
    <row r="20">
      <c r="A20" s="9">
        <f>IF(Members!B12="","",Members!A12)</f>
        <v/>
      </c>
      <c r="B20" s="10">
        <f>IF(Members!B12="","",Members!E12)</f>
        <v/>
      </c>
      <c r="C20" s="11">
        <f>IF(Members!B12="","",REPT("█",ROUND(Members!G12*20,0))&amp;REPT("░",20-ROUND(Members!G12*20,0)))</f>
        <v/>
      </c>
      <c r="D20" s="9">
        <f>IF(Members!B12="","",Members!H12)</f>
        <v/>
      </c>
      <c r="E20" s="10">
        <f>IF(Members!B12="","",Members!I12)</f>
        <v/>
      </c>
    </row>
    <row r="21">
      <c r="A21" s="9">
        <f>IF(Members!B13="","",Members!A13)</f>
        <v/>
      </c>
      <c r="B21" s="10">
        <f>IF(Members!B13="","",Members!E13)</f>
        <v/>
      </c>
      <c r="C21" s="11">
        <f>IF(Members!B13="","",REPT("█",ROUND(Members!G13*20,0))&amp;REPT("░",20-ROUND(Members!G13*20,0)))</f>
        <v/>
      </c>
      <c r="D21" s="9">
        <f>IF(Members!B13="","",Members!H13)</f>
        <v/>
      </c>
      <c r="E21" s="10">
        <f>IF(Members!B13="","",Members!I13)</f>
        <v/>
      </c>
    </row>
    <row r="22">
      <c r="A22" s="9">
        <f>IF(Members!B14="","",Members!A14)</f>
        <v/>
      </c>
      <c r="B22" s="10">
        <f>IF(Members!B14="","",Members!E14)</f>
        <v/>
      </c>
      <c r="C22" s="11">
        <f>IF(Members!B14="","",REPT("█",ROUND(Members!G14*20,0))&amp;REPT("░",20-ROUND(Members!G14*20,0)))</f>
        <v/>
      </c>
      <c r="D22" s="9">
        <f>IF(Members!B14="","",Members!H14)</f>
        <v/>
      </c>
      <c r="E22" s="10">
        <f>IF(Members!B14="","",Members!I14)</f>
        <v/>
      </c>
    </row>
    <row r="23">
      <c r="A23" s="9">
        <f>IF(Members!B15="","",Members!A15)</f>
        <v/>
      </c>
      <c r="B23" s="10">
        <f>IF(Members!B15="","",Members!E15)</f>
        <v/>
      </c>
      <c r="C23" s="11">
        <f>IF(Members!B15="","",REPT("█",ROUND(Members!G15*20,0))&amp;REPT("░",20-ROUND(Members!G15*20,0)))</f>
        <v/>
      </c>
      <c r="D23" s="9">
        <f>IF(Members!B15="","",Members!H15)</f>
        <v/>
      </c>
      <c r="E23" s="10">
        <f>IF(Members!B15="","",Members!I15)</f>
        <v/>
      </c>
    </row>
    <row r="24">
      <c r="A24" s="9">
        <f>IF(Members!B16="","",Members!A16)</f>
        <v/>
      </c>
      <c r="B24" s="10">
        <f>IF(Members!B16="","",Members!E16)</f>
        <v/>
      </c>
      <c r="C24" s="11">
        <f>IF(Members!B16="","",REPT("█",ROUND(Members!G16*20,0))&amp;REPT("░",20-ROUND(Members!G16*20,0)))</f>
        <v/>
      </c>
      <c r="D24" s="9">
        <f>IF(Members!B16="","",Members!H16)</f>
        <v/>
      </c>
      <c r="E24" s="10">
        <f>IF(Members!B16="","",Members!I16)</f>
        <v/>
      </c>
    </row>
    <row r="25">
      <c r="A25" s="9">
        <f>IF(Members!B17="","",Members!A17)</f>
        <v/>
      </c>
      <c r="B25" s="10">
        <f>IF(Members!B17="","",Members!E17)</f>
        <v/>
      </c>
      <c r="C25" s="11">
        <f>IF(Members!B17="","",REPT("█",ROUND(Members!G17*20,0))&amp;REPT("░",20-ROUND(Members!G17*20,0)))</f>
        <v/>
      </c>
      <c r="D25" s="9">
        <f>IF(Members!B17="","",Members!H17)</f>
        <v/>
      </c>
      <c r="E25" s="10">
        <f>IF(Members!B17="","",Members!I17)</f>
        <v/>
      </c>
    </row>
    <row r="26">
      <c r="A26" s="9">
        <f>IF(Members!B18="","",Members!A18)</f>
        <v/>
      </c>
      <c r="B26" s="10">
        <f>IF(Members!B18="","",Members!E18)</f>
        <v/>
      </c>
      <c r="C26" s="11">
        <f>IF(Members!B18="","",REPT("█",ROUND(Members!G18*20,0))&amp;REPT("░",20-ROUND(Members!G18*20,0)))</f>
        <v/>
      </c>
      <c r="D26" s="9">
        <f>IF(Members!B18="","",Members!H18)</f>
        <v/>
      </c>
      <c r="E26" s="10">
        <f>IF(Members!B18="","",Members!I18)</f>
        <v/>
      </c>
    </row>
    <row r="27">
      <c r="A27" s="9">
        <f>IF(Members!B19="","",Members!A19)</f>
        <v/>
      </c>
      <c r="B27" s="10">
        <f>IF(Members!B19="","",Members!E19)</f>
        <v/>
      </c>
      <c r="C27" s="11">
        <f>IF(Members!B19="","",REPT("█",ROUND(Members!G19*20,0))&amp;REPT("░",20-ROUND(Members!G19*20,0)))</f>
        <v/>
      </c>
      <c r="D27" s="9">
        <f>IF(Members!B19="","",Members!H19)</f>
        <v/>
      </c>
      <c r="E27" s="10">
        <f>IF(Members!B19="","",Members!I19)</f>
        <v/>
      </c>
    </row>
    <row r="28">
      <c r="A28" s="9">
        <f>IF(Members!B20="","",Members!A20)</f>
        <v/>
      </c>
      <c r="B28" s="10">
        <f>IF(Members!B20="","",Members!E20)</f>
        <v/>
      </c>
      <c r="C28" s="11">
        <f>IF(Members!B20="","",REPT("█",ROUND(Members!G20*20,0))&amp;REPT("░",20-ROUND(Members!G20*20,0)))</f>
        <v/>
      </c>
      <c r="D28" s="9">
        <f>IF(Members!B20="","",Members!H20)</f>
        <v/>
      </c>
      <c r="E28" s="10">
        <f>IF(Members!B20="","",Members!I20)</f>
        <v/>
      </c>
    </row>
    <row r="29">
      <c r="A29" s="9">
        <f>IF(Members!B21="","",Members!A21)</f>
        <v/>
      </c>
      <c r="B29" s="10">
        <f>IF(Members!B21="","",Members!E21)</f>
        <v/>
      </c>
      <c r="C29" s="11">
        <f>IF(Members!B21="","",REPT("█",ROUND(Members!G21*20,0))&amp;REPT("░",20-ROUND(Members!G21*20,0)))</f>
        <v/>
      </c>
      <c r="D29" s="9">
        <f>IF(Members!B21="","",Members!H21)</f>
        <v/>
      </c>
      <c r="E29" s="10">
        <f>IF(Members!B21="","",Members!I21)</f>
        <v/>
      </c>
    </row>
    <row r="30">
      <c r="A30" s="9">
        <f>IF(Members!B22="","",Members!A22)</f>
        <v/>
      </c>
      <c r="B30" s="10">
        <f>IF(Members!B22="","",Members!E22)</f>
        <v/>
      </c>
      <c r="C30" s="11">
        <f>IF(Members!B22="","",REPT("█",ROUND(Members!G22*20,0))&amp;REPT("░",20-ROUND(Members!G22*20,0)))</f>
        <v/>
      </c>
      <c r="D30" s="9">
        <f>IF(Members!B22="","",Members!H22)</f>
        <v/>
      </c>
      <c r="E30" s="10">
        <f>IF(Members!B22="","",Members!I22)</f>
        <v/>
      </c>
    </row>
    <row r="31">
      <c r="A31" s="9">
        <f>IF(Members!B23="","",Members!A23)</f>
        <v/>
      </c>
      <c r="B31" s="10">
        <f>IF(Members!B23="","",Members!E23)</f>
        <v/>
      </c>
      <c r="C31" s="11">
        <f>IF(Members!B23="","",REPT("█",ROUND(Members!G23*20,0))&amp;REPT("░",20-ROUND(Members!G23*20,0)))</f>
        <v/>
      </c>
      <c r="D31" s="9">
        <f>IF(Members!B23="","",Members!H23)</f>
        <v/>
      </c>
      <c r="E31" s="10">
        <f>IF(Members!B23="","",Members!I23)</f>
        <v/>
      </c>
    </row>
    <row r="32">
      <c r="A32" s="9">
        <f>IF(Members!B24="","",Members!A24)</f>
        <v/>
      </c>
      <c r="B32" s="10">
        <f>IF(Members!B24="","",Members!E24)</f>
        <v/>
      </c>
      <c r="C32" s="11">
        <f>IF(Members!B24="","",REPT("█",ROUND(Members!G24*20,0))&amp;REPT("░",20-ROUND(Members!G24*20,0)))</f>
        <v/>
      </c>
      <c r="D32" s="9">
        <f>IF(Members!B24="","",Members!H24)</f>
        <v/>
      </c>
      <c r="E32" s="10">
        <f>IF(Members!B24="","",Members!I24)</f>
        <v/>
      </c>
    </row>
    <row r="33">
      <c r="A33" s="9">
        <f>IF(Members!B25="","",Members!A25)</f>
        <v/>
      </c>
      <c r="B33" s="10">
        <f>IF(Members!B25="","",Members!E25)</f>
        <v/>
      </c>
      <c r="C33" s="11">
        <f>IF(Members!B25="","",REPT("█",ROUND(Members!G25*20,0))&amp;REPT("░",20-ROUND(Members!G25*20,0)))</f>
        <v/>
      </c>
      <c r="D33" s="9">
        <f>IF(Members!B25="","",Members!H25)</f>
        <v/>
      </c>
      <c r="E33" s="10">
        <f>IF(Members!B25="","",Members!I25)</f>
        <v/>
      </c>
    </row>
    <row r="34">
      <c r="A34" s="9">
        <f>IF(Members!B26="","",Members!A26)</f>
        <v/>
      </c>
      <c r="B34" s="10">
        <f>IF(Members!B26="","",Members!E26)</f>
        <v/>
      </c>
      <c r="C34" s="11">
        <f>IF(Members!B26="","",REPT("█",ROUND(Members!G26*20,0))&amp;REPT("░",20-ROUND(Members!G26*20,0)))</f>
        <v/>
      </c>
      <c r="D34" s="9">
        <f>IF(Members!B26="","",Members!H26)</f>
        <v/>
      </c>
      <c r="E34" s="10">
        <f>IF(Members!B26="","",Members!I26)</f>
        <v/>
      </c>
    </row>
    <row r="35">
      <c r="A35" s="9">
        <f>IF(Members!B27="","",Members!A27)</f>
        <v/>
      </c>
      <c r="B35" s="10">
        <f>IF(Members!B27="","",Members!E27)</f>
        <v/>
      </c>
      <c r="C35" s="11">
        <f>IF(Members!B27="","",REPT("█",ROUND(Members!G27*20,0))&amp;REPT("░",20-ROUND(Members!G27*20,0)))</f>
        <v/>
      </c>
      <c r="D35" s="9">
        <f>IF(Members!B27="","",Members!H27)</f>
        <v/>
      </c>
      <c r="E35" s="10">
        <f>IF(Members!B27="","",Members!I27)</f>
        <v/>
      </c>
    </row>
    <row r="36">
      <c r="A36" s="9">
        <f>IF(Members!B28="","",Members!A28)</f>
        <v/>
      </c>
      <c r="B36" s="10">
        <f>IF(Members!B28="","",Members!E28)</f>
        <v/>
      </c>
      <c r="C36" s="11">
        <f>IF(Members!B28="","",REPT("█",ROUND(Members!G28*20,0))&amp;REPT("░",20-ROUND(Members!G28*20,0)))</f>
        <v/>
      </c>
      <c r="D36" s="9">
        <f>IF(Members!B28="","",Members!H28)</f>
        <v/>
      </c>
      <c r="E36" s="10">
        <f>IF(Members!B28="","",Members!I28)</f>
        <v/>
      </c>
    </row>
    <row r="37">
      <c r="A37" s="9">
        <f>IF(Members!B29="","",Members!A29)</f>
        <v/>
      </c>
      <c r="B37" s="10">
        <f>IF(Members!B29="","",Members!E29)</f>
        <v/>
      </c>
      <c r="C37" s="11">
        <f>IF(Members!B29="","",REPT("█",ROUND(Members!G29*20,0))&amp;REPT("░",20-ROUND(Members!G29*20,0)))</f>
        <v/>
      </c>
      <c r="D37" s="9">
        <f>IF(Members!B29="","",Members!H29)</f>
        <v/>
      </c>
      <c r="E37" s="10">
        <f>IF(Members!B29="","",Members!I29)</f>
        <v/>
      </c>
    </row>
    <row r="38">
      <c r="A38" s="9">
        <f>IF(Members!B30="","",Members!A30)</f>
        <v/>
      </c>
      <c r="B38" s="10">
        <f>IF(Members!B30="","",Members!E30)</f>
        <v/>
      </c>
      <c r="C38" s="11">
        <f>IF(Members!B30="","",REPT("█",ROUND(Members!G30*20,0))&amp;REPT("░",20-ROUND(Members!G30*20,0)))</f>
        <v/>
      </c>
      <c r="D38" s="9">
        <f>IF(Members!B30="","",Members!H30)</f>
        <v/>
      </c>
      <c r="E38" s="10">
        <f>IF(Members!B30="","",Members!I30)</f>
        <v/>
      </c>
    </row>
    <row r="39">
      <c r="A39" s="9">
        <f>IF(Members!B31="","",Members!A31)</f>
        <v/>
      </c>
      <c r="B39" s="10">
        <f>IF(Members!B31="","",Members!E31)</f>
        <v/>
      </c>
      <c r="C39" s="11">
        <f>IF(Members!B31="","",REPT("█",ROUND(Members!G31*20,0))&amp;REPT("░",20-ROUND(Members!G31*20,0)))</f>
        <v/>
      </c>
      <c r="D39" s="9">
        <f>IF(Members!B31="","",Members!H31)</f>
        <v/>
      </c>
      <c r="E39" s="10">
        <f>IF(Members!B31="","",Members!I31)</f>
        <v/>
      </c>
    </row>
    <row r="40">
      <c r="A40" s="9">
        <f>IF(Members!B32="","",Members!A32)</f>
        <v/>
      </c>
      <c r="B40" s="10">
        <f>IF(Members!B32="","",Members!E32)</f>
        <v/>
      </c>
      <c r="C40" s="11">
        <f>IF(Members!B32="","",REPT("█",ROUND(Members!G32*20,0))&amp;REPT("░",20-ROUND(Members!G32*20,0)))</f>
        <v/>
      </c>
      <c r="D40" s="9">
        <f>IF(Members!B32="","",Members!H32)</f>
        <v/>
      </c>
      <c r="E40" s="10">
        <f>IF(Members!B32="","",Members!I32)</f>
        <v/>
      </c>
    </row>
    <row r="41">
      <c r="A41" s="9">
        <f>IF(Members!B33="","",Members!A33)</f>
        <v/>
      </c>
      <c r="B41" s="10">
        <f>IF(Members!B33="","",Members!E33)</f>
        <v/>
      </c>
      <c r="C41" s="11">
        <f>IF(Members!B33="","",REPT("█",ROUND(Members!G33*20,0))&amp;REPT("░",20-ROUND(Members!G33*20,0)))</f>
        <v/>
      </c>
      <c r="D41" s="9">
        <f>IF(Members!B33="","",Members!H33)</f>
        <v/>
      </c>
      <c r="E41" s="10">
        <f>IF(Members!B33="","",Members!I33)</f>
        <v/>
      </c>
    </row>
    <row r="42">
      <c r="A42" s="9">
        <f>IF(Members!B34="","",Members!A34)</f>
        <v/>
      </c>
      <c r="B42" s="10">
        <f>IF(Members!B34="","",Members!E34)</f>
        <v/>
      </c>
      <c r="C42" s="11">
        <f>IF(Members!B34="","",REPT("█",ROUND(Members!G34*20,0))&amp;REPT("░",20-ROUND(Members!G34*20,0)))</f>
        <v/>
      </c>
      <c r="D42" s="9">
        <f>IF(Members!B34="","",Members!H34)</f>
        <v/>
      </c>
      <c r="E42" s="10">
        <f>IF(Members!B34="","",Members!I34)</f>
        <v/>
      </c>
    </row>
    <row r="43">
      <c r="A43" s="9">
        <f>IF(Members!B35="","",Members!A35)</f>
        <v/>
      </c>
      <c r="B43" s="10">
        <f>IF(Members!B35="","",Members!E35)</f>
        <v/>
      </c>
      <c r="C43" s="11">
        <f>IF(Members!B35="","",REPT("█",ROUND(Members!G35*20,0))&amp;REPT("░",20-ROUND(Members!G35*20,0)))</f>
        <v/>
      </c>
      <c r="D43" s="9">
        <f>IF(Members!B35="","",Members!H35)</f>
        <v/>
      </c>
      <c r="E43" s="10">
        <f>IF(Members!B35="","",Members!I35)</f>
        <v/>
      </c>
    </row>
    <row r="44">
      <c r="A44" s="9">
        <f>IF(Members!B36="","",Members!A36)</f>
        <v/>
      </c>
      <c r="B44" s="10">
        <f>IF(Members!B36="","",Members!E36)</f>
        <v/>
      </c>
      <c r="C44" s="11">
        <f>IF(Members!B36="","",REPT("█",ROUND(Members!G36*20,0))&amp;REPT("░",20-ROUND(Members!G36*20,0)))</f>
        <v/>
      </c>
      <c r="D44" s="9">
        <f>IF(Members!B36="","",Members!H36)</f>
        <v/>
      </c>
      <c r="E44" s="10">
        <f>IF(Members!B36="","",Members!I36)</f>
        <v/>
      </c>
    </row>
    <row r="45">
      <c r="A45" s="9">
        <f>IF(Members!B37="","",Members!A37)</f>
        <v/>
      </c>
      <c r="B45" s="10">
        <f>IF(Members!B37="","",Members!E37)</f>
        <v/>
      </c>
      <c r="C45" s="11">
        <f>IF(Members!B37="","",REPT("█",ROUND(Members!G37*20,0))&amp;REPT("░",20-ROUND(Members!G37*20,0)))</f>
        <v/>
      </c>
      <c r="D45" s="9">
        <f>IF(Members!B37="","",Members!H37)</f>
        <v/>
      </c>
      <c r="E45" s="10">
        <f>IF(Members!B37="","",Members!I37)</f>
        <v/>
      </c>
    </row>
    <row r="46">
      <c r="A46" s="9">
        <f>IF(Members!B38="","",Members!A38)</f>
        <v/>
      </c>
      <c r="B46" s="10">
        <f>IF(Members!B38="","",Members!E38)</f>
        <v/>
      </c>
      <c r="C46" s="11">
        <f>IF(Members!B38="","",REPT("█",ROUND(Members!G38*20,0))&amp;REPT("░",20-ROUND(Members!G38*20,0)))</f>
        <v/>
      </c>
      <c r="D46" s="9">
        <f>IF(Members!B38="","",Members!H38)</f>
        <v/>
      </c>
      <c r="E46" s="10">
        <f>IF(Members!B38="","",Members!I38)</f>
        <v/>
      </c>
    </row>
    <row r="47">
      <c r="A47" s="9">
        <f>IF(Members!B39="","",Members!A39)</f>
        <v/>
      </c>
      <c r="B47" s="10">
        <f>IF(Members!B39="","",Members!E39)</f>
        <v/>
      </c>
      <c r="C47" s="11">
        <f>IF(Members!B39="","",REPT("█",ROUND(Members!G39*20,0))&amp;REPT("░",20-ROUND(Members!G39*20,0)))</f>
        <v/>
      </c>
      <c r="D47" s="9">
        <f>IF(Members!B39="","",Members!H39)</f>
        <v/>
      </c>
      <c r="E47" s="10">
        <f>IF(Members!B39="","",Members!I39)</f>
        <v/>
      </c>
    </row>
    <row r="48">
      <c r="A48" s="9">
        <f>IF(Members!B40="","",Members!A40)</f>
        <v/>
      </c>
      <c r="B48" s="10">
        <f>IF(Members!B40="","",Members!E40)</f>
        <v/>
      </c>
      <c r="C48" s="11">
        <f>IF(Members!B40="","",REPT("█",ROUND(Members!G40*20,0))&amp;REPT("░",20-ROUND(Members!G40*20,0)))</f>
        <v/>
      </c>
      <c r="D48" s="9">
        <f>IF(Members!B40="","",Members!H40)</f>
        <v/>
      </c>
      <c r="E48" s="10">
        <f>IF(Members!B40="","",Members!I40)</f>
        <v/>
      </c>
    </row>
    <row r="49">
      <c r="A49" s="9">
        <f>IF(Members!B41="","",Members!A41)</f>
        <v/>
      </c>
      <c r="B49" s="10">
        <f>IF(Members!B41="","",Members!E41)</f>
        <v/>
      </c>
      <c r="C49" s="11">
        <f>IF(Members!B41="","",REPT("█",ROUND(Members!G41*20,0))&amp;REPT("░",20-ROUND(Members!G41*20,0)))</f>
        <v/>
      </c>
      <c r="D49" s="9">
        <f>IF(Members!B41="","",Members!H41)</f>
        <v/>
      </c>
      <c r="E49" s="10">
        <f>IF(Members!B41="","",Members!I41)</f>
        <v/>
      </c>
    </row>
    <row r="50">
      <c r="A50" s="9">
        <f>IF(Members!B42="","",Members!A42)</f>
        <v/>
      </c>
      <c r="B50" s="10">
        <f>IF(Members!B42="","",Members!E42)</f>
        <v/>
      </c>
      <c r="C50" s="11">
        <f>IF(Members!B42="","",REPT("█",ROUND(Members!G42*20,0))&amp;REPT("░",20-ROUND(Members!G42*20,0)))</f>
        <v/>
      </c>
      <c r="D50" s="9">
        <f>IF(Members!B42="","",Members!H42)</f>
        <v/>
      </c>
      <c r="E50" s="10">
        <f>IF(Members!B42="","",Members!I42)</f>
        <v/>
      </c>
    </row>
    <row r="51">
      <c r="A51" s="9">
        <f>IF(Members!B43="","",Members!A43)</f>
        <v/>
      </c>
      <c r="B51" s="10">
        <f>IF(Members!B43="","",Members!E43)</f>
        <v/>
      </c>
      <c r="C51" s="11">
        <f>IF(Members!B43="","",REPT("█",ROUND(Members!G43*20,0))&amp;REPT("░",20-ROUND(Members!G43*20,0)))</f>
        <v/>
      </c>
      <c r="D51" s="9">
        <f>IF(Members!B43="","",Members!H43)</f>
        <v/>
      </c>
      <c r="E51" s="10">
        <f>IF(Members!B43="","",Members!I43)</f>
        <v/>
      </c>
    </row>
    <row r="52">
      <c r="A52" s="9">
        <f>IF(Members!B44="","",Members!A44)</f>
        <v/>
      </c>
      <c r="B52" s="10">
        <f>IF(Members!B44="","",Members!E44)</f>
        <v/>
      </c>
      <c r="C52" s="11">
        <f>IF(Members!B44="","",REPT("█",ROUND(Members!G44*20,0))&amp;REPT("░",20-ROUND(Members!G44*20,0)))</f>
        <v/>
      </c>
      <c r="D52" s="9">
        <f>IF(Members!B44="","",Members!H44)</f>
        <v/>
      </c>
      <c r="E52" s="10">
        <f>IF(Members!B44="","",Members!I44)</f>
        <v/>
      </c>
    </row>
    <row r="53">
      <c r="A53" s="9">
        <f>IF(Members!B45="","",Members!A45)</f>
        <v/>
      </c>
      <c r="B53" s="10">
        <f>IF(Members!B45="","",Members!E45)</f>
        <v/>
      </c>
      <c r="C53" s="11">
        <f>IF(Members!B45="","",REPT("█",ROUND(Members!G45*20,0))&amp;REPT("░",20-ROUND(Members!G45*20,0)))</f>
        <v/>
      </c>
      <c r="D53" s="9">
        <f>IF(Members!B45="","",Members!H45)</f>
        <v/>
      </c>
      <c r="E53" s="10">
        <f>IF(Members!B45="","",Members!I45)</f>
        <v/>
      </c>
    </row>
    <row r="54">
      <c r="A54" s="9">
        <f>IF(Members!B46="","",Members!A46)</f>
        <v/>
      </c>
      <c r="B54" s="10">
        <f>IF(Members!B46="","",Members!E46)</f>
        <v/>
      </c>
      <c r="C54" s="11">
        <f>IF(Members!B46="","",REPT("█",ROUND(Members!G46*20,0))&amp;REPT("░",20-ROUND(Members!G46*20,0)))</f>
        <v/>
      </c>
      <c r="D54" s="9">
        <f>IF(Members!B46="","",Members!H46)</f>
        <v/>
      </c>
      <c r="E54" s="10">
        <f>IF(Members!B46="","",Members!I46)</f>
        <v/>
      </c>
    </row>
    <row r="55">
      <c r="A55" s="9">
        <f>IF(Members!B47="","",Members!A47)</f>
        <v/>
      </c>
      <c r="B55" s="10">
        <f>IF(Members!B47="","",Members!E47)</f>
        <v/>
      </c>
      <c r="C55" s="11">
        <f>IF(Members!B47="","",REPT("█",ROUND(Members!G47*20,0))&amp;REPT("░",20-ROUND(Members!G47*20,0)))</f>
        <v/>
      </c>
      <c r="D55" s="9">
        <f>IF(Members!B47="","",Members!H47)</f>
        <v/>
      </c>
      <c r="E55" s="10">
        <f>IF(Members!B47="","",Members!I47)</f>
        <v/>
      </c>
    </row>
    <row r="56">
      <c r="A56" s="9">
        <f>IF(Members!B48="","",Members!A48)</f>
        <v/>
      </c>
      <c r="B56" s="10">
        <f>IF(Members!B48="","",Members!E48)</f>
        <v/>
      </c>
      <c r="C56" s="11">
        <f>IF(Members!B48="","",REPT("█",ROUND(Members!G48*20,0))&amp;REPT("░",20-ROUND(Members!G48*20,0)))</f>
        <v/>
      </c>
      <c r="D56" s="9">
        <f>IF(Members!B48="","",Members!H48)</f>
        <v/>
      </c>
      <c r="E56" s="10">
        <f>IF(Members!B48="","",Members!I48)</f>
        <v/>
      </c>
    </row>
    <row r="57">
      <c r="A57" s="9">
        <f>IF(Members!B49="","",Members!A49)</f>
        <v/>
      </c>
      <c r="B57" s="10">
        <f>IF(Members!B49="","",Members!E49)</f>
        <v/>
      </c>
      <c r="C57" s="11">
        <f>IF(Members!B49="","",REPT("█",ROUND(Members!G49*20,0))&amp;REPT("░",20-ROUND(Members!G49*20,0)))</f>
        <v/>
      </c>
      <c r="D57" s="9">
        <f>IF(Members!B49="","",Members!H49)</f>
        <v/>
      </c>
      <c r="E57" s="10">
        <f>IF(Members!B49="","",Members!I49)</f>
        <v/>
      </c>
    </row>
    <row r="58">
      <c r="A58" s="9">
        <f>IF(Members!B50="","",Members!A50)</f>
        <v/>
      </c>
      <c r="B58" s="10">
        <f>IF(Members!B50="","",Members!E50)</f>
        <v/>
      </c>
      <c r="C58" s="11">
        <f>IF(Members!B50="","",REPT("█",ROUND(Members!G50*20,0))&amp;REPT("░",20-ROUND(Members!G50*20,0)))</f>
        <v/>
      </c>
      <c r="D58" s="9">
        <f>IF(Members!B50="","",Members!H50)</f>
        <v/>
      </c>
      <c r="E58" s="10">
        <f>IF(Members!B50="","",Members!I50)</f>
        <v/>
      </c>
    </row>
    <row r="59">
      <c r="A59" s="9">
        <f>IF(Members!B51="","",Members!A51)</f>
        <v/>
      </c>
      <c r="B59" s="10">
        <f>IF(Members!B51="","",Members!E51)</f>
        <v/>
      </c>
      <c r="C59" s="11">
        <f>IF(Members!B51="","",REPT("█",ROUND(Members!G51*20,0))&amp;REPT("░",20-ROUND(Members!G51*20,0)))</f>
        <v/>
      </c>
      <c r="D59" s="9">
        <f>IF(Members!B51="","",Members!H51)</f>
        <v/>
      </c>
      <c r="E59" s="10">
        <f>IF(Members!B51="","",Members!I51)</f>
        <v/>
      </c>
    </row>
    <row r="60">
      <c r="A60" s="9">
        <f>IF(Members!B52="","",Members!A52)</f>
        <v/>
      </c>
      <c r="B60" s="10">
        <f>IF(Members!B52="","",Members!E52)</f>
        <v/>
      </c>
      <c r="C60" s="11">
        <f>IF(Members!B52="","",REPT("█",ROUND(Members!G52*20,0))&amp;REPT("░",20-ROUND(Members!G52*20,0)))</f>
        <v/>
      </c>
      <c r="D60" s="9">
        <f>IF(Members!B52="","",Members!H52)</f>
        <v/>
      </c>
      <c r="E60" s="10">
        <f>IF(Members!B52="","",Members!I52)</f>
        <v/>
      </c>
    </row>
    <row r="61">
      <c r="A61" s="9">
        <f>IF(Members!B53="","",Members!A53)</f>
        <v/>
      </c>
      <c r="B61" s="10">
        <f>IF(Members!B53="","",Members!E53)</f>
        <v/>
      </c>
      <c r="C61" s="11">
        <f>IF(Members!B53="","",REPT("█",ROUND(Members!G53*20,0))&amp;REPT("░",20-ROUND(Members!G53*20,0)))</f>
        <v/>
      </c>
      <c r="D61" s="9">
        <f>IF(Members!B53="","",Members!H53)</f>
        <v/>
      </c>
      <c r="E61" s="10">
        <f>IF(Members!B53="","",Members!I53)</f>
        <v/>
      </c>
    </row>
    <row r="62">
      <c r="A62" s="9">
        <f>IF(Members!B54="","",Members!A54)</f>
        <v/>
      </c>
      <c r="B62" s="10">
        <f>IF(Members!B54="","",Members!E54)</f>
        <v/>
      </c>
      <c r="C62" s="11">
        <f>IF(Members!B54="","",REPT("█",ROUND(Members!G54*20,0))&amp;REPT("░",20-ROUND(Members!G54*20,0)))</f>
        <v/>
      </c>
      <c r="D62" s="9">
        <f>IF(Members!B54="","",Members!H54)</f>
        <v/>
      </c>
      <c r="E62" s="10">
        <f>IF(Members!B54="","",Members!I54)</f>
        <v/>
      </c>
    </row>
    <row r="63">
      <c r="A63" s="9">
        <f>IF(Members!B55="","",Members!A55)</f>
        <v/>
      </c>
      <c r="B63" s="10">
        <f>IF(Members!B55="","",Members!E55)</f>
        <v/>
      </c>
      <c r="C63" s="11">
        <f>IF(Members!B55="","",REPT("█",ROUND(Members!G55*20,0))&amp;REPT("░",20-ROUND(Members!G55*20,0)))</f>
        <v/>
      </c>
      <c r="D63" s="9">
        <f>IF(Members!B55="","",Members!H55)</f>
        <v/>
      </c>
      <c r="E63" s="10">
        <f>IF(Members!B55="","",Members!I55)</f>
        <v/>
      </c>
    </row>
    <row r="64">
      <c r="A64" s="9">
        <f>IF(Members!B56="","",Members!A56)</f>
        <v/>
      </c>
      <c r="B64" s="10">
        <f>IF(Members!B56="","",Members!E56)</f>
        <v/>
      </c>
      <c r="C64" s="11">
        <f>IF(Members!B56="","",REPT("█",ROUND(Members!G56*20,0))&amp;REPT("░",20-ROUND(Members!G56*20,0)))</f>
        <v/>
      </c>
      <c r="D64" s="9">
        <f>IF(Members!B56="","",Members!H56)</f>
        <v/>
      </c>
      <c r="E64" s="10">
        <f>IF(Members!B56="","",Members!I56)</f>
        <v/>
      </c>
    </row>
    <row r="65">
      <c r="A65" s="9">
        <f>IF(Members!B57="","",Members!A57)</f>
        <v/>
      </c>
      <c r="B65" s="10">
        <f>IF(Members!B57="","",Members!E57)</f>
        <v/>
      </c>
      <c r="C65" s="11">
        <f>IF(Members!B57="","",REPT("█",ROUND(Members!G57*20,0))&amp;REPT("░",20-ROUND(Members!G57*20,0)))</f>
        <v/>
      </c>
      <c r="D65" s="9">
        <f>IF(Members!B57="","",Members!H57)</f>
        <v/>
      </c>
      <c r="E65" s="10">
        <f>IF(Members!B57="","",Members!I57)</f>
        <v/>
      </c>
    </row>
    <row r="66">
      <c r="A66" s="9">
        <f>IF(Members!B58="","",Members!A58)</f>
        <v/>
      </c>
      <c r="B66" s="10">
        <f>IF(Members!B58="","",Members!E58)</f>
        <v/>
      </c>
      <c r="C66" s="11">
        <f>IF(Members!B58="","",REPT("█",ROUND(Members!G58*20,0))&amp;REPT("░",20-ROUND(Members!G58*20,0)))</f>
        <v/>
      </c>
      <c r="D66" s="9">
        <f>IF(Members!B58="","",Members!H58)</f>
        <v/>
      </c>
      <c r="E66" s="10">
        <f>IF(Members!B58="","",Members!I58)</f>
        <v/>
      </c>
    </row>
    <row r="67">
      <c r="A67" s="9">
        <f>IF(Members!B59="","",Members!A59)</f>
        <v/>
      </c>
      <c r="B67" s="10">
        <f>IF(Members!B59="","",Members!E59)</f>
        <v/>
      </c>
      <c r="C67" s="11">
        <f>IF(Members!B59="","",REPT("█",ROUND(Members!G59*20,0))&amp;REPT("░",20-ROUND(Members!G59*20,0)))</f>
        <v/>
      </c>
      <c r="D67" s="9">
        <f>IF(Members!B59="","",Members!H59)</f>
        <v/>
      </c>
      <c r="E67" s="10">
        <f>IF(Members!B59="","",Members!I59)</f>
        <v/>
      </c>
    </row>
    <row r="68">
      <c r="A68" s="9">
        <f>IF(Members!B60="","",Members!A60)</f>
        <v/>
      </c>
      <c r="B68" s="10">
        <f>IF(Members!B60="","",Members!E60)</f>
        <v/>
      </c>
      <c r="C68" s="11">
        <f>IF(Members!B60="","",REPT("█",ROUND(Members!G60*20,0))&amp;REPT("░",20-ROUND(Members!G60*20,0)))</f>
        <v/>
      </c>
      <c r="D68" s="9">
        <f>IF(Members!B60="","",Members!H60)</f>
        <v/>
      </c>
      <c r="E68" s="10">
        <f>IF(Members!B60="","",Members!I60)</f>
        <v/>
      </c>
    </row>
    <row r="69">
      <c r="A69" s="9">
        <f>IF(Members!B61="","",Members!A61)</f>
        <v/>
      </c>
      <c r="B69" s="10">
        <f>IF(Members!B61="","",Members!E61)</f>
        <v/>
      </c>
      <c r="C69" s="11">
        <f>IF(Members!B61="","",REPT("█",ROUND(Members!G61*20,0))&amp;REPT("░",20-ROUND(Members!G61*20,0)))</f>
        <v/>
      </c>
      <c r="D69" s="9">
        <f>IF(Members!B61="","",Members!H61)</f>
        <v/>
      </c>
      <c r="E69" s="10">
        <f>IF(Members!B61="","",Members!I61)</f>
        <v/>
      </c>
    </row>
  </sheetData>
  <conditionalFormatting sqref="D10:D69">
    <cfRule type="cellIs" priority="1" operator="equal" dxfId="0">
      <formula>"Done"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14A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1" t="inlineStr">
        <is>
          <t>Settings</t>
        </is>
      </c>
    </row>
    <row r="2">
      <c r="A2" s="2" t="inlineStr">
        <is>
          <t>Only sessions between these dates count.</t>
        </is>
      </c>
    </row>
    <row r="4">
      <c r="A4" s="12" t="inlineStr">
        <is>
          <t>Semester</t>
        </is>
      </c>
      <c r="B4" s="13" t="inlineStr">
        <is>
          <t>Fall 2026</t>
        </is>
      </c>
    </row>
    <row r="5">
      <c r="A5" s="12" t="inlineStr">
        <is>
          <t>Starts</t>
        </is>
      </c>
      <c r="B5" s="14" t="n">
        <v>46251</v>
      </c>
    </row>
    <row r="6">
      <c r="A6" s="12" t="inlineStr">
        <is>
          <t>Ends</t>
        </is>
      </c>
      <c r="B6" s="14" t="n">
        <v>46374</v>
      </c>
    </row>
    <row r="7">
      <c r="A7" s="12" t="inlineStr">
        <is>
          <t>Hours each member needs</t>
        </is>
      </c>
      <c r="B7" s="13" t="n">
        <v>9</v>
      </c>
    </row>
    <row r="8">
      <c r="A8" s="12" t="inlineStr">
        <is>
          <t>What has to be in every photo</t>
        </is>
      </c>
      <c r="B8" s="13" t="inlineStr">
        <is>
          <t>the object specified by a lead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1224E"/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8" customWidth="1" min="3" max="3"/>
    <col width="14" customWidth="1" min="4" max="4"/>
    <col width="15" customWidth="1" min="5" max="5"/>
    <col width="17" customWidth="1" min="6" max="6"/>
    <col width="16" customWidth="1" min="7" max="7"/>
    <col width="13" customWidth="1" min="8" max="8"/>
    <col width="12" customWidth="1" min="9" max="9"/>
  </cols>
  <sheetData>
    <row r="1" ht="30" customHeight="1">
      <c r="A1" s="8" t="inlineStr">
        <is>
          <t>Name</t>
        </is>
      </c>
      <c r="B1" s="8" t="inlineStr">
        <is>
          <t>Email</t>
        </is>
      </c>
      <c r="C1" s="8" t="inlineStr">
        <is>
          <t>Grade</t>
        </is>
      </c>
      <c r="D1" s="8" t="inlineStr">
        <is>
          <t>Signed up</t>
        </is>
      </c>
      <c r="E1" s="8" t="inlineStr">
        <is>
          <t>Approved hours</t>
        </is>
      </c>
      <c r="F1" s="8" t="inlineStr">
        <is>
          <t>Waiting on review</t>
        </is>
      </c>
      <c r="G1" s="8" t="inlineStr">
        <is>
          <t>Progress</t>
        </is>
      </c>
      <c r="H1" s="8" t="inlineStr">
        <is>
          <t>Status</t>
        </is>
      </c>
      <c r="I1" s="8" t="inlineStr">
        <is>
          <t>Hours to go</t>
        </is>
      </c>
    </row>
    <row r="2">
      <c r="A2" s="9" t="inlineStr">
        <is>
          <t>Alex Kim</t>
        </is>
      </c>
      <c r="B2" s="9" t="inlineStr">
        <is>
          <t>alex@example.com</t>
        </is>
      </c>
      <c r="C2" s="9" t="inlineStr">
        <is>
          <t>11</t>
        </is>
      </c>
      <c r="D2" s="15" t="n">
        <v>46254</v>
      </c>
      <c r="E2" s="10">
        <f>IF($B2="","",SUMIFS(Sessions!$I:$I,Sessions!$B:$B,$B2,Sessions!$A:$A,"&gt;="&amp;SemesterStart,Sessions!$A:$A,"&lt;="&amp;SemesterEnd))</f>
        <v/>
      </c>
      <c r="F2" s="10">
        <f>IF($B2="","",SUMIFS(Sessions!$F:$F,Sessions!$B:$B,$B2,Sessions!$G:$G,"Waiting",Sessions!$A:$A,"&gt;="&amp;SemesterStart,Sessions!$A:$A,"&lt;="&amp;SemesterEnd))</f>
        <v/>
      </c>
      <c r="G2" s="16">
        <f>IF($B2="","",MIN(1,E2/RequiredHours))</f>
        <v/>
      </c>
      <c r="H2" s="9">
        <f>IF($B2="","",IF(E2&gt;=RequiredHours,"Done","In progress"))</f>
        <v/>
      </c>
      <c r="I2" s="10">
        <f>IF($B2="","",MAX(0,RequiredHours-E2))</f>
        <v/>
      </c>
    </row>
    <row r="3">
      <c r="A3" s="9" t="inlineStr">
        <is>
          <t>Jordan Patel</t>
        </is>
      </c>
      <c r="B3" s="9" t="inlineStr">
        <is>
          <t>jordan@example.com</t>
        </is>
      </c>
      <c r="C3" s="9" t="inlineStr">
        <is>
          <t>10</t>
        </is>
      </c>
      <c r="D3" s="15" t="n">
        <v>46254</v>
      </c>
      <c r="E3" s="10">
        <f>IF($B3="","",SUMIFS(Sessions!$I:$I,Sessions!$B:$B,$B3,Sessions!$A:$A,"&gt;="&amp;SemesterStart,Sessions!$A:$A,"&lt;="&amp;SemesterEnd))</f>
        <v/>
      </c>
      <c r="F3" s="10">
        <f>IF($B3="","",SUMIFS(Sessions!$F:$F,Sessions!$B:$B,$B3,Sessions!$G:$G,"Waiting",Sessions!$A:$A,"&gt;="&amp;SemesterStart,Sessions!$A:$A,"&lt;="&amp;SemesterEnd))</f>
        <v/>
      </c>
      <c r="G3" s="16">
        <f>IF($B3="","",MIN(1,E3/RequiredHours))</f>
        <v/>
      </c>
      <c r="H3" s="9">
        <f>IF($B3="","",IF(E3&gt;=RequiredHours,"Done","In progress"))</f>
        <v/>
      </c>
      <c r="I3" s="10">
        <f>IF($B3="","",MAX(0,RequiredHours-E3))</f>
        <v/>
      </c>
    </row>
    <row r="4">
      <c r="A4" s="9" t="inlineStr">
        <is>
          <t>Sam Rivera</t>
        </is>
      </c>
      <c r="B4" s="9" t="inlineStr">
        <is>
          <t>sam@example.com</t>
        </is>
      </c>
      <c r="C4" s="9" t="inlineStr">
        <is>
          <t>12</t>
        </is>
      </c>
      <c r="D4" s="15" t="n">
        <v>46254</v>
      </c>
      <c r="E4" s="10">
        <f>IF($B4="","",SUMIFS(Sessions!$I:$I,Sessions!$B:$B,$B4,Sessions!$A:$A,"&gt;="&amp;SemesterStart,Sessions!$A:$A,"&lt;="&amp;SemesterEnd))</f>
        <v/>
      </c>
      <c r="F4" s="10">
        <f>IF($B4="","",SUMIFS(Sessions!$F:$F,Sessions!$B:$B,$B4,Sessions!$G:$G,"Waiting",Sessions!$A:$A,"&gt;="&amp;SemesterStart,Sessions!$A:$A,"&lt;="&amp;SemesterEnd))</f>
        <v/>
      </c>
      <c r="G4" s="16">
        <f>IF($B4="","",MIN(1,E4/RequiredHours))</f>
        <v/>
      </c>
      <c r="H4" s="9">
        <f>IF($B4="","",IF(E4&gt;=RequiredHours,"Done","In progress"))</f>
        <v/>
      </c>
      <c r="I4" s="10">
        <f>IF($B4="","",MAX(0,RequiredHours-E4))</f>
        <v/>
      </c>
    </row>
    <row r="5">
      <c r="A5" s="9" t="n"/>
      <c r="B5" s="9" t="n"/>
      <c r="C5" s="9" t="n"/>
      <c r="D5" s="15" t="n"/>
      <c r="E5" s="10">
        <f>IF($B5="","",SUMIFS(Sessions!$I:$I,Sessions!$B:$B,$B5,Sessions!$A:$A,"&gt;="&amp;SemesterStart,Sessions!$A:$A,"&lt;="&amp;SemesterEnd))</f>
        <v/>
      </c>
      <c r="F5" s="10">
        <f>IF($B5="","",SUMIFS(Sessions!$F:$F,Sessions!$B:$B,$B5,Sessions!$G:$G,"Waiting",Sessions!$A:$A,"&gt;="&amp;SemesterStart,Sessions!$A:$A,"&lt;="&amp;SemesterEnd))</f>
        <v/>
      </c>
      <c r="G5" s="16">
        <f>IF($B5="","",MIN(1,E5/RequiredHours))</f>
        <v/>
      </c>
      <c r="H5" s="9">
        <f>IF($B5="","",IF(E5&gt;=RequiredHours,"Done","In progress"))</f>
        <v/>
      </c>
      <c r="I5" s="10">
        <f>IF($B5="","",MAX(0,RequiredHours-E5))</f>
        <v/>
      </c>
    </row>
    <row r="6">
      <c r="A6" s="9" t="n"/>
      <c r="B6" s="9" t="n"/>
      <c r="C6" s="9" t="n"/>
      <c r="D6" s="15" t="n"/>
      <c r="E6" s="10">
        <f>IF($B6="","",SUMIFS(Sessions!$I:$I,Sessions!$B:$B,$B6,Sessions!$A:$A,"&gt;="&amp;SemesterStart,Sessions!$A:$A,"&lt;="&amp;SemesterEnd))</f>
        <v/>
      </c>
      <c r="F6" s="10">
        <f>IF($B6="","",SUMIFS(Sessions!$F:$F,Sessions!$B:$B,$B6,Sessions!$G:$G,"Waiting",Sessions!$A:$A,"&gt;="&amp;SemesterStart,Sessions!$A:$A,"&lt;="&amp;SemesterEnd))</f>
        <v/>
      </c>
      <c r="G6" s="16">
        <f>IF($B6="","",MIN(1,E6/RequiredHours))</f>
        <v/>
      </c>
      <c r="H6" s="9">
        <f>IF($B6="","",IF(E6&gt;=RequiredHours,"Done","In progress"))</f>
        <v/>
      </c>
      <c r="I6" s="10">
        <f>IF($B6="","",MAX(0,RequiredHours-E6))</f>
        <v/>
      </c>
    </row>
    <row r="7">
      <c r="A7" s="9" t="n"/>
      <c r="B7" s="9" t="n"/>
      <c r="C7" s="9" t="n"/>
      <c r="D7" s="15" t="n"/>
      <c r="E7" s="10">
        <f>IF($B7="","",SUMIFS(Sessions!$I:$I,Sessions!$B:$B,$B7,Sessions!$A:$A,"&gt;="&amp;SemesterStart,Sessions!$A:$A,"&lt;="&amp;SemesterEnd))</f>
        <v/>
      </c>
      <c r="F7" s="10">
        <f>IF($B7="","",SUMIFS(Sessions!$F:$F,Sessions!$B:$B,$B7,Sessions!$G:$G,"Waiting",Sessions!$A:$A,"&gt;="&amp;SemesterStart,Sessions!$A:$A,"&lt;="&amp;SemesterEnd))</f>
        <v/>
      </c>
      <c r="G7" s="16">
        <f>IF($B7="","",MIN(1,E7/RequiredHours))</f>
        <v/>
      </c>
      <c r="H7" s="9">
        <f>IF($B7="","",IF(E7&gt;=RequiredHours,"Done","In progress"))</f>
        <v/>
      </c>
      <c r="I7" s="10">
        <f>IF($B7="","",MAX(0,RequiredHours-E7))</f>
        <v/>
      </c>
    </row>
    <row r="8">
      <c r="A8" s="9" t="n"/>
      <c r="B8" s="9" t="n"/>
      <c r="C8" s="9" t="n"/>
      <c r="D8" s="15" t="n"/>
      <c r="E8" s="10">
        <f>IF($B8="","",SUMIFS(Sessions!$I:$I,Sessions!$B:$B,$B8,Sessions!$A:$A,"&gt;="&amp;SemesterStart,Sessions!$A:$A,"&lt;="&amp;SemesterEnd))</f>
        <v/>
      </c>
      <c r="F8" s="10">
        <f>IF($B8="","",SUMIFS(Sessions!$F:$F,Sessions!$B:$B,$B8,Sessions!$G:$G,"Waiting",Sessions!$A:$A,"&gt;="&amp;SemesterStart,Sessions!$A:$A,"&lt;="&amp;SemesterEnd))</f>
        <v/>
      </c>
      <c r="G8" s="16">
        <f>IF($B8="","",MIN(1,E8/RequiredHours))</f>
        <v/>
      </c>
      <c r="H8" s="9">
        <f>IF($B8="","",IF(E8&gt;=RequiredHours,"Done","In progress"))</f>
        <v/>
      </c>
      <c r="I8" s="10">
        <f>IF($B8="","",MAX(0,RequiredHours-E8))</f>
        <v/>
      </c>
    </row>
    <row r="9">
      <c r="A9" s="9" t="n"/>
      <c r="B9" s="9" t="n"/>
      <c r="C9" s="9" t="n"/>
      <c r="D9" s="15" t="n"/>
      <c r="E9" s="10">
        <f>IF($B9="","",SUMIFS(Sessions!$I:$I,Sessions!$B:$B,$B9,Sessions!$A:$A,"&gt;="&amp;SemesterStart,Sessions!$A:$A,"&lt;="&amp;SemesterEnd))</f>
        <v/>
      </c>
      <c r="F9" s="10">
        <f>IF($B9="","",SUMIFS(Sessions!$F:$F,Sessions!$B:$B,$B9,Sessions!$G:$G,"Waiting",Sessions!$A:$A,"&gt;="&amp;SemesterStart,Sessions!$A:$A,"&lt;="&amp;SemesterEnd))</f>
        <v/>
      </c>
      <c r="G9" s="16">
        <f>IF($B9="","",MIN(1,E9/RequiredHours))</f>
        <v/>
      </c>
      <c r="H9" s="9">
        <f>IF($B9="","",IF(E9&gt;=RequiredHours,"Done","In progress"))</f>
        <v/>
      </c>
      <c r="I9" s="10">
        <f>IF($B9="","",MAX(0,RequiredHours-E9))</f>
        <v/>
      </c>
    </row>
    <row r="10">
      <c r="A10" s="9" t="n"/>
      <c r="B10" s="9" t="n"/>
      <c r="C10" s="9" t="n"/>
      <c r="D10" s="15" t="n"/>
      <c r="E10" s="10">
        <f>IF($B10="","",SUMIFS(Sessions!$I:$I,Sessions!$B:$B,$B10,Sessions!$A:$A,"&gt;="&amp;SemesterStart,Sessions!$A:$A,"&lt;="&amp;SemesterEnd))</f>
        <v/>
      </c>
      <c r="F10" s="10">
        <f>IF($B10="","",SUMIFS(Sessions!$F:$F,Sessions!$B:$B,$B10,Sessions!$G:$G,"Waiting",Sessions!$A:$A,"&gt;="&amp;SemesterStart,Sessions!$A:$A,"&lt;="&amp;SemesterEnd))</f>
        <v/>
      </c>
      <c r="G10" s="16">
        <f>IF($B10="","",MIN(1,E10/RequiredHours))</f>
        <v/>
      </c>
      <c r="H10" s="9">
        <f>IF($B10="","",IF(E10&gt;=RequiredHours,"Done","In progress"))</f>
        <v/>
      </c>
      <c r="I10" s="10">
        <f>IF($B10="","",MAX(0,RequiredHours-E10))</f>
        <v/>
      </c>
    </row>
    <row r="11">
      <c r="A11" s="9" t="n"/>
      <c r="B11" s="9" t="n"/>
      <c r="C11" s="9" t="n"/>
      <c r="D11" s="15" t="n"/>
      <c r="E11" s="10">
        <f>IF($B11="","",SUMIFS(Sessions!$I:$I,Sessions!$B:$B,$B11,Sessions!$A:$A,"&gt;="&amp;SemesterStart,Sessions!$A:$A,"&lt;="&amp;SemesterEnd))</f>
        <v/>
      </c>
      <c r="F11" s="10">
        <f>IF($B11="","",SUMIFS(Sessions!$F:$F,Sessions!$B:$B,$B11,Sessions!$G:$G,"Waiting",Sessions!$A:$A,"&gt;="&amp;SemesterStart,Sessions!$A:$A,"&lt;="&amp;SemesterEnd))</f>
        <v/>
      </c>
      <c r="G11" s="16">
        <f>IF($B11="","",MIN(1,E11/RequiredHours))</f>
        <v/>
      </c>
      <c r="H11" s="9">
        <f>IF($B11="","",IF(E11&gt;=RequiredHours,"Done","In progress"))</f>
        <v/>
      </c>
      <c r="I11" s="10">
        <f>IF($B11="","",MAX(0,RequiredHours-E11))</f>
        <v/>
      </c>
    </row>
    <row r="12">
      <c r="A12" s="9" t="n"/>
      <c r="B12" s="9" t="n"/>
      <c r="C12" s="9" t="n"/>
      <c r="D12" s="15" t="n"/>
      <c r="E12" s="10">
        <f>IF($B12="","",SUMIFS(Sessions!$I:$I,Sessions!$B:$B,$B12,Sessions!$A:$A,"&gt;="&amp;SemesterStart,Sessions!$A:$A,"&lt;="&amp;SemesterEnd))</f>
        <v/>
      </c>
      <c r="F12" s="10">
        <f>IF($B12="","",SUMIFS(Sessions!$F:$F,Sessions!$B:$B,$B12,Sessions!$G:$G,"Waiting",Sessions!$A:$A,"&gt;="&amp;SemesterStart,Sessions!$A:$A,"&lt;="&amp;SemesterEnd))</f>
        <v/>
      </c>
      <c r="G12" s="16">
        <f>IF($B12="","",MIN(1,E12/RequiredHours))</f>
        <v/>
      </c>
      <c r="H12" s="9">
        <f>IF($B12="","",IF(E12&gt;=RequiredHours,"Done","In progress"))</f>
        <v/>
      </c>
      <c r="I12" s="10">
        <f>IF($B12="","",MAX(0,RequiredHours-E12))</f>
        <v/>
      </c>
    </row>
    <row r="13">
      <c r="A13" s="9" t="n"/>
      <c r="B13" s="9" t="n"/>
      <c r="C13" s="9" t="n"/>
      <c r="D13" s="15" t="n"/>
      <c r="E13" s="10">
        <f>IF($B13="","",SUMIFS(Sessions!$I:$I,Sessions!$B:$B,$B13,Sessions!$A:$A,"&gt;="&amp;SemesterStart,Sessions!$A:$A,"&lt;="&amp;SemesterEnd))</f>
        <v/>
      </c>
      <c r="F13" s="10">
        <f>IF($B13="","",SUMIFS(Sessions!$F:$F,Sessions!$B:$B,$B13,Sessions!$G:$G,"Waiting",Sessions!$A:$A,"&gt;="&amp;SemesterStart,Sessions!$A:$A,"&lt;="&amp;SemesterEnd))</f>
        <v/>
      </c>
      <c r="G13" s="16">
        <f>IF($B13="","",MIN(1,E13/RequiredHours))</f>
        <v/>
      </c>
      <c r="H13" s="9">
        <f>IF($B13="","",IF(E13&gt;=RequiredHours,"Done","In progress"))</f>
        <v/>
      </c>
      <c r="I13" s="10">
        <f>IF($B13="","",MAX(0,RequiredHours-E13))</f>
        <v/>
      </c>
    </row>
    <row r="14">
      <c r="A14" s="9" t="n"/>
      <c r="B14" s="9" t="n"/>
      <c r="C14" s="9" t="n"/>
      <c r="D14" s="15" t="n"/>
      <c r="E14" s="10">
        <f>IF($B14="","",SUMIFS(Sessions!$I:$I,Sessions!$B:$B,$B14,Sessions!$A:$A,"&gt;="&amp;SemesterStart,Sessions!$A:$A,"&lt;="&amp;SemesterEnd))</f>
        <v/>
      </c>
      <c r="F14" s="10">
        <f>IF($B14="","",SUMIFS(Sessions!$F:$F,Sessions!$B:$B,$B14,Sessions!$G:$G,"Waiting",Sessions!$A:$A,"&gt;="&amp;SemesterStart,Sessions!$A:$A,"&lt;="&amp;SemesterEnd))</f>
        <v/>
      </c>
      <c r="G14" s="16">
        <f>IF($B14="","",MIN(1,E14/RequiredHours))</f>
        <v/>
      </c>
      <c r="H14" s="9">
        <f>IF($B14="","",IF(E14&gt;=RequiredHours,"Done","In progress"))</f>
        <v/>
      </c>
      <c r="I14" s="10">
        <f>IF($B14="","",MAX(0,RequiredHours-E14))</f>
        <v/>
      </c>
    </row>
    <row r="15">
      <c r="A15" s="9" t="n"/>
      <c r="B15" s="9" t="n"/>
      <c r="C15" s="9" t="n"/>
      <c r="D15" s="15" t="n"/>
      <c r="E15" s="10">
        <f>IF($B15="","",SUMIFS(Sessions!$I:$I,Sessions!$B:$B,$B15,Sessions!$A:$A,"&gt;="&amp;SemesterStart,Sessions!$A:$A,"&lt;="&amp;SemesterEnd))</f>
        <v/>
      </c>
      <c r="F15" s="10">
        <f>IF($B15="","",SUMIFS(Sessions!$F:$F,Sessions!$B:$B,$B15,Sessions!$G:$G,"Waiting",Sessions!$A:$A,"&gt;="&amp;SemesterStart,Sessions!$A:$A,"&lt;="&amp;SemesterEnd))</f>
        <v/>
      </c>
      <c r="G15" s="16">
        <f>IF($B15="","",MIN(1,E15/RequiredHours))</f>
        <v/>
      </c>
      <c r="H15" s="9">
        <f>IF($B15="","",IF(E15&gt;=RequiredHours,"Done","In progress"))</f>
        <v/>
      </c>
      <c r="I15" s="10">
        <f>IF($B15="","",MAX(0,RequiredHours-E15))</f>
        <v/>
      </c>
    </row>
    <row r="16">
      <c r="A16" s="9" t="n"/>
      <c r="B16" s="9" t="n"/>
      <c r="C16" s="9" t="n"/>
      <c r="D16" s="15" t="n"/>
      <c r="E16" s="10">
        <f>IF($B16="","",SUMIFS(Sessions!$I:$I,Sessions!$B:$B,$B16,Sessions!$A:$A,"&gt;="&amp;SemesterStart,Sessions!$A:$A,"&lt;="&amp;SemesterEnd))</f>
        <v/>
      </c>
      <c r="F16" s="10">
        <f>IF($B16="","",SUMIFS(Sessions!$F:$F,Sessions!$B:$B,$B16,Sessions!$G:$G,"Waiting",Sessions!$A:$A,"&gt;="&amp;SemesterStart,Sessions!$A:$A,"&lt;="&amp;SemesterEnd))</f>
        <v/>
      </c>
      <c r="G16" s="16">
        <f>IF($B16="","",MIN(1,E16/RequiredHours))</f>
        <v/>
      </c>
      <c r="H16" s="9">
        <f>IF($B16="","",IF(E16&gt;=RequiredHours,"Done","In progress"))</f>
        <v/>
      </c>
      <c r="I16" s="10">
        <f>IF($B16="","",MAX(0,RequiredHours-E16))</f>
        <v/>
      </c>
    </row>
    <row r="17">
      <c r="A17" s="9" t="n"/>
      <c r="B17" s="9" t="n"/>
      <c r="C17" s="9" t="n"/>
      <c r="D17" s="15" t="n"/>
      <c r="E17" s="10">
        <f>IF($B17="","",SUMIFS(Sessions!$I:$I,Sessions!$B:$B,$B17,Sessions!$A:$A,"&gt;="&amp;SemesterStart,Sessions!$A:$A,"&lt;="&amp;SemesterEnd))</f>
        <v/>
      </c>
      <c r="F17" s="10">
        <f>IF($B17="","",SUMIFS(Sessions!$F:$F,Sessions!$B:$B,$B17,Sessions!$G:$G,"Waiting",Sessions!$A:$A,"&gt;="&amp;SemesterStart,Sessions!$A:$A,"&lt;="&amp;SemesterEnd))</f>
        <v/>
      </c>
      <c r="G17" s="16">
        <f>IF($B17="","",MIN(1,E17/RequiredHours))</f>
        <v/>
      </c>
      <c r="H17" s="9">
        <f>IF($B17="","",IF(E17&gt;=RequiredHours,"Done","In progress"))</f>
        <v/>
      </c>
      <c r="I17" s="10">
        <f>IF($B17="","",MAX(0,RequiredHours-E17))</f>
        <v/>
      </c>
    </row>
    <row r="18">
      <c r="A18" s="9" t="n"/>
      <c r="B18" s="9" t="n"/>
      <c r="C18" s="9" t="n"/>
      <c r="D18" s="15" t="n"/>
      <c r="E18" s="10">
        <f>IF($B18="","",SUMIFS(Sessions!$I:$I,Sessions!$B:$B,$B18,Sessions!$A:$A,"&gt;="&amp;SemesterStart,Sessions!$A:$A,"&lt;="&amp;SemesterEnd))</f>
        <v/>
      </c>
      <c r="F18" s="10">
        <f>IF($B18="","",SUMIFS(Sessions!$F:$F,Sessions!$B:$B,$B18,Sessions!$G:$G,"Waiting",Sessions!$A:$A,"&gt;="&amp;SemesterStart,Sessions!$A:$A,"&lt;="&amp;SemesterEnd))</f>
        <v/>
      </c>
      <c r="G18" s="16">
        <f>IF($B18="","",MIN(1,E18/RequiredHours))</f>
        <v/>
      </c>
      <c r="H18" s="9">
        <f>IF($B18="","",IF(E18&gt;=RequiredHours,"Done","In progress"))</f>
        <v/>
      </c>
      <c r="I18" s="10">
        <f>IF($B18="","",MAX(0,RequiredHours-E18))</f>
        <v/>
      </c>
    </row>
    <row r="19">
      <c r="A19" s="9" t="n"/>
      <c r="B19" s="9" t="n"/>
      <c r="C19" s="9" t="n"/>
      <c r="D19" s="15" t="n"/>
      <c r="E19" s="10">
        <f>IF($B19="","",SUMIFS(Sessions!$I:$I,Sessions!$B:$B,$B19,Sessions!$A:$A,"&gt;="&amp;SemesterStart,Sessions!$A:$A,"&lt;="&amp;SemesterEnd))</f>
        <v/>
      </c>
      <c r="F19" s="10">
        <f>IF($B19="","",SUMIFS(Sessions!$F:$F,Sessions!$B:$B,$B19,Sessions!$G:$G,"Waiting",Sessions!$A:$A,"&gt;="&amp;SemesterStart,Sessions!$A:$A,"&lt;="&amp;SemesterEnd))</f>
        <v/>
      </c>
      <c r="G19" s="16">
        <f>IF($B19="","",MIN(1,E19/RequiredHours))</f>
        <v/>
      </c>
      <c r="H19" s="9">
        <f>IF($B19="","",IF(E19&gt;=RequiredHours,"Done","In progress"))</f>
        <v/>
      </c>
      <c r="I19" s="10">
        <f>IF($B19="","",MAX(0,RequiredHours-E19))</f>
        <v/>
      </c>
    </row>
    <row r="20">
      <c r="A20" s="9" t="n"/>
      <c r="B20" s="9" t="n"/>
      <c r="C20" s="9" t="n"/>
      <c r="D20" s="15" t="n"/>
      <c r="E20" s="10">
        <f>IF($B20="","",SUMIFS(Sessions!$I:$I,Sessions!$B:$B,$B20,Sessions!$A:$A,"&gt;="&amp;SemesterStart,Sessions!$A:$A,"&lt;="&amp;SemesterEnd))</f>
        <v/>
      </c>
      <c r="F20" s="10">
        <f>IF($B20="","",SUMIFS(Sessions!$F:$F,Sessions!$B:$B,$B20,Sessions!$G:$G,"Waiting",Sessions!$A:$A,"&gt;="&amp;SemesterStart,Sessions!$A:$A,"&lt;="&amp;SemesterEnd))</f>
        <v/>
      </c>
      <c r="G20" s="16">
        <f>IF($B20="","",MIN(1,E20/RequiredHours))</f>
        <v/>
      </c>
      <c r="H20" s="9">
        <f>IF($B20="","",IF(E20&gt;=RequiredHours,"Done","In progress"))</f>
        <v/>
      </c>
      <c r="I20" s="10">
        <f>IF($B20="","",MAX(0,RequiredHours-E20))</f>
        <v/>
      </c>
    </row>
    <row r="21">
      <c r="A21" s="9" t="n"/>
      <c r="B21" s="9" t="n"/>
      <c r="C21" s="9" t="n"/>
      <c r="D21" s="15" t="n"/>
      <c r="E21" s="10">
        <f>IF($B21="","",SUMIFS(Sessions!$I:$I,Sessions!$B:$B,$B21,Sessions!$A:$A,"&gt;="&amp;SemesterStart,Sessions!$A:$A,"&lt;="&amp;SemesterEnd))</f>
        <v/>
      </c>
      <c r="F21" s="10">
        <f>IF($B21="","",SUMIFS(Sessions!$F:$F,Sessions!$B:$B,$B21,Sessions!$G:$G,"Waiting",Sessions!$A:$A,"&gt;="&amp;SemesterStart,Sessions!$A:$A,"&lt;="&amp;SemesterEnd))</f>
        <v/>
      </c>
      <c r="G21" s="16">
        <f>IF($B21="","",MIN(1,E21/RequiredHours))</f>
        <v/>
      </c>
      <c r="H21" s="9">
        <f>IF($B21="","",IF(E21&gt;=RequiredHours,"Done","In progress"))</f>
        <v/>
      </c>
      <c r="I21" s="10">
        <f>IF($B21="","",MAX(0,RequiredHours-E21))</f>
        <v/>
      </c>
    </row>
    <row r="22">
      <c r="A22" s="9" t="n"/>
      <c r="B22" s="9" t="n"/>
      <c r="C22" s="9" t="n"/>
      <c r="D22" s="15" t="n"/>
      <c r="E22" s="10">
        <f>IF($B22="","",SUMIFS(Sessions!$I:$I,Sessions!$B:$B,$B22,Sessions!$A:$A,"&gt;="&amp;SemesterStart,Sessions!$A:$A,"&lt;="&amp;SemesterEnd))</f>
        <v/>
      </c>
      <c r="F22" s="10">
        <f>IF($B22="","",SUMIFS(Sessions!$F:$F,Sessions!$B:$B,$B22,Sessions!$G:$G,"Waiting",Sessions!$A:$A,"&gt;="&amp;SemesterStart,Sessions!$A:$A,"&lt;="&amp;SemesterEnd))</f>
        <v/>
      </c>
      <c r="G22" s="16">
        <f>IF($B22="","",MIN(1,E22/RequiredHours))</f>
        <v/>
      </c>
      <c r="H22" s="9">
        <f>IF($B22="","",IF(E22&gt;=RequiredHours,"Done","In progress"))</f>
        <v/>
      </c>
      <c r="I22" s="10">
        <f>IF($B22="","",MAX(0,RequiredHours-E22))</f>
        <v/>
      </c>
    </row>
    <row r="23">
      <c r="A23" s="9" t="n"/>
      <c r="B23" s="9" t="n"/>
      <c r="C23" s="9" t="n"/>
      <c r="D23" s="15" t="n"/>
      <c r="E23" s="10">
        <f>IF($B23="","",SUMIFS(Sessions!$I:$I,Sessions!$B:$B,$B23,Sessions!$A:$A,"&gt;="&amp;SemesterStart,Sessions!$A:$A,"&lt;="&amp;SemesterEnd))</f>
        <v/>
      </c>
      <c r="F23" s="10">
        <f>IF($B23="","",SUMIFS(Sessions!$F:$F,Sessions!$B:$B,$B23,Sessions!$G:$G,"Waiting",Sessions!$A:$A,"&gt;="&amp;SemesterStart,Sessions!$A:$A,"&lt;="&amp;SemesterEnd))</f>
        <v/>
      </c>
      <c r="G23" s="16">
        <f>IF($B23="","",MIN(1,E23/RequiredHours))</f>
        <v/>
      </c>
      <c r="H23" s="9">
        <f>IF($B23="","",IF(E23&gt;=RequiredHours,"Done","In progress"))</f>
        <v/>
      </c>
      <c r="I23" s="10">
        <f>IF($B23="","",MAX(0,RequiredHours-E23))</f>
        <v/>
      </c>
    </row>
    <row r="24">
      <c r="A24" s="9" t="n"/>
      <c r="B24" s="9" t="n"/>
      <c r="C24" s="9" t="n"/>
      <c r="D24" s="15" t="n"/>
      <c r="E24" s="10">
        <f>IF($B24="","",SUMIFS(Sessions!$I:$I,Sessions!$B:$B,$B24,Sessions!$A:$A,"&gt;="&amp;SemesterStart,Sessions!$A:$A,"&lt;="&amp;SemesterEnd))</f>
        <v/>
      </c>
      <c r="F24" s="10">
        <f>IF($B24="","",SUMIFS(Sessions!$F:$F,Sessions!$B:$B,$B24,Sessions!$G:$G,"Waiting",Sessions!$A:$A,"&gt;="&amp;SemesterStart,Sessions!$A:$A,"&lt;="&amp;SemesterEnd))</f>
        <v/>
      </c>
      <c r="G24" s="16">
        <f>IF($B24="","",MIN(1,E24/RequiredHours))</f>
        <v/>
      </c>
      <c r="H24" s="9">
        <f>IF($B24="","",IF(E24&gt;=RequiredHours,"Done","In progress"))</f>
        <v/>
      </c>
      <c r="I24" s="10">
        <f>IF($B24="","",MAX(0,RequiredHours-E24))</f>
        <v/>
      </c>
    </row>
    <row r="25">
      <c r="A25" s="9" t="n"/>
      <c r="B25" s="9" t="n"/>
      <c r="C25" s="9" t="n"/>
      <c r="D25" s="15" t="n"/>
      <c r="E25" s="10">
        <f>IF($B25="","",SUMIFS(Sessions!$I:$I,Sessions!$B:$B,$B25,Sessions!$A:$A,"&gt;="&amp;SemesterStart,Sessions!$A:$A,"&lt;="&amp;SemesterEnd))</f>
        <v/>
      </c>
      <c r="F25" s="10">
        <f>IF($B25="","",SUMIFS(Sessions!$F:$F,Sessions!$B:$B,$B25,Sessions!$G:$G,"Waiting",Sessions!$A:$A,"&gt;="&amp;SemesterStart,Sessions!$A:$A,"&lt;="&amp;SemesterEnd))</f>
        <v/>
      </c>
      <c r="G25" s="16">
        <f>IF($B25="","",MIN(1,E25/RequiredHours))</f>
        <v/>
      </c>
      <c r="H25" s="9">
        <f>IF($B25="","",IF(E25&gt;=RequiredHours,"Done","In progress"))</f>
        <v/>
      </c>
      <c r="I25" s="10">
        <f>IF($B25="","",MAX(0,RequiredHours-E25))</f>
        <v/>
      </c>
    </row>
    <row r="26">
      <c r="A26" s="9" t="n"/>
      <c r="B26" s="9" t="n"/>
      <c r="C26" s="9" t="n"/>
      <c r="D26" s="15" t="n"/>
      <c r="E26" s="10">
        <f>IF($B26="","",SUMIFS(Sessions!$I:$I,Sessions!$B:$B,$B26,Sessions!$A:$A,"&gt;="&amp;SemesterStart,Sessions!$A:$A,"&lt;="&amp;SemesterEnd))</f>
        <v/>
      </c>
      <c r="F26" s="10">
        <f>IF($B26="","",SUMIFS(Sessions!$F:$F,Sessions!$B:$B,$B26,Sessions!$G:$G,"Waiting",Sessions!$A:$A,"&gt;="&amp;SemesterStart,Sessions!$A:$A,"&lt;="&amp;SemesterEnd))</f>
        <v/>
      </c>
      <c r="G26" s="16">
        <f>IF($B26="","",MIN(1,E26/RequiredHours))</f>
        <v/>
      </c>
      <c r="H26" s="9">
        <f>IF($B26="","",IF(E26&gt;=RequiredHours,"Done","In progress"))</f>
        <v/>
      </c>
      <c r="I26" s="10">
        <f>IF($B26="","",MAX(0,RequiredHours-E26))</f>
        <v/>
      </c>
    </row>
    <row r="27">
      <c r="A27" s="9" t="n"/>
      <c r="B27" s="9" t="n"/>
      <c r="C27" s="9" t="n"/>
      <c r="D27" s="15" t="n"/>
      <c r="E27" s="10">
        <f>IF($B27="","",SUMIFS(Sessions!$I:$I,Sessions!$B:$B,$B27,Sessions!$A:$A,"&gt;="&amp;SemesterStart,Sessions!$A:$A,"&lt;="&amp;SemesterEnd))</f>
        <v/>
      </c>
      <c r="F27" s="10">
        <f>IF($B27="","",SUMIFS(Sessions!$F:$F,Sessions!$B:$B,$B27,Sessions!$G:$G,"Waiting",Sessions!$A:$A,"&gt;="&amp;SemesterStart,Sessions!$A:$A,"&lt;="&amp;SemesterEnd))</f>
        <v/>
      </c>
      <c r="G27" s="16">
        <f>IF($B27="","",MIN(1,E27/RequiredHours))</f>
        <v/>
      </c>
      <c r="H27" s="9">
        <f>IF($B27="","",IF(E27&gt;=RequiredHours,"Done","In progress"))</f>
        <v/>
      </c>
      <c r="I27" s="10">
        <f>IF($B27="","",MAX(0,RequiredHours-E27))</f>
        <v/>
      </c>
    </row>
    <row r="28">
      <c r="A28" s="9" t="n"/>
      <c r="B28" s="9" t="n"/>
      <c r="C28" s="9" t="n"/>
      <c r="D28" s="15" t="n"/>
      <c r="E28" s="10">
        <f>IF($B28="","",SUMIFS(Sessions!$I:$I,Sessions!$B:$B,$B28,Sessions!$A:$A,"&gt;="&amp;SemesterStart,Sessions!$A:$A,"&lt;="&amp;SemesterEnd))</f>
        <v/>
      </c>
      <c r="F28" s="10">
        <f>IF($B28="","",SUMIFS(Sessions!$F:$F,Sessions!$B:$B,$B28,Sessions!$G:$G,"Waiting",Sessions!$A:$A,"&gt;="&amp;SemesterStart,Sessions!$A:$A,"&lt;="&amp;SemesterEnd))</f>
        <v/>
      </c>
      <c r="G28" s="16">
        <f>IF($B28="","",MIN(1,E28/RequiredHours))</f>
        <v/>
      </c>
      <c r="H28" s="9">
        <f>IF($B28="","",IF(E28&gt;=RequiredHours,"Done","In progress"))</f>
        <v/>
      </c>
      <c r="I28" s="10">
        <f>IF($B28="","",MAX(0,RequiredHours-E28))</f>
        <v/>
      </c>
    </row>
    <row r="29">
      <c r="A29" s="9" t="n"/>
      <c r="B29" s="9" t="n"/>
      <c r="C29" s="9" t="n"/>
      <c r="D29" s="15" t="n"/>
      <c r="E29" s="10">
        <f>IF($B29="","",SUMIFS(Sessions!$I:$I,Sessions!$B:$B,$B29,Sessions!$A:$A,"&gt;="&amp;SemesterStart,Sessions!$A:$A,"&lt;="&amp;SemesterEnd))</f>
        <v/>
      </c>
      <c r="F29" s="10">
        <f>IF($B29="","",SUMIFS(Sessions!$F:$F,Sessions!$B:$B,$B29,Sessions!$G:$G,"Waiting",Sessions!$A:$A,"&gt;="&amp;SemesterStart,Sessions!$A:$A,"&lt;="&amp;SemesterEnd))</f>
        <v/>
      </c>
      <c r="G29" s="16">
        <f>IF($B29="","",MIN(1,E29/RequiredHours))</f>
        <v/>
      </c>
      <c r="H29" s="9">
        <f>IF($B29="","",IF(E29&gt;=RequiredHours,"Done","In progress"))</f>
        <v/>
      </c>
      <c r="I29" s="10">
        <f>IF($B29="","",MAX(0,RequiredHours-E29))</f>
        <v/>
      </c>
    </row>
    <row r="30">
      <c r="A30" s="9" t="n"/>
      <c r="B30" s="9" t="n"/>
      <c r="C30" s="9" t="n"/>
      <c r="D30" s="15" t="n"/>
      <c r="E30" s="10">
        <f>IF($B30="","",SUMIFS(Sessions!$I:$I,Sessions!$B:$B,$B30,Sessions!$A:$A,"&gt;="&amp;SemesterStart,Sessions!$A:$A,"&lt;="&amp;SemesterEnd))</f>
        <v/>
      </c>
      <c r="F30" s="10">
        <f>IF($B30="","",SUMIFS(Sessions!$F:$F,Sessions!$B:$B,$B30,Sessions!$G:$G,"Waiting",Sessions!$A:$A,"&gt;="&amp;SemesterStart,Sessions!$A:$A,"&lt;="&amp;SemesterEnd))</f>
        <v/>
      </c>
      <c r="G30" s="16">
        <f>IF($B30="","",MIN(1,E30/RequiredHours))</f>
        <v/>
      </c>
      <c r="H30" s="9">
        <f>IF($B30="","",IF(E30&gt;=RequiredHours,"Done","In progress"))</f>
        <v/>
      </c>
      <c r="I30" s="10">
        <f>IF($B30="","",MAX(0,RequiredHours-E30))</f>
        <v/>
      </c>
    </row>
    <row r="31">
      <c r="A31" s="9" t="n"/>
      <c r="B31" s="9" t="n"/>
      <c r="C31" s="9" t="n"/>
      <c r="D31" s="15" t="n"/>
      <c r="E31" s="10">
        <f>IF($B31="","",SUMIFS(Sessions!$I:$I,Sessions!$B:$B,$B31,Sessions!$A:$A,"&gt;="&amp;SemesterStart,Sessions!$A:$A,"&lt;="&amp;SemesterEnd))</f>
        <v/>
      </c>
      <c r="F31" s="10">
        <f>IF($B31="","",SUMIFS(Sessions!$F:$F,Sessions!$B:$B,$B31,Sessions!$G:$G,"Waiting",Sessions!$A:$A,"&gt;="&amp;SemesterStart,Sessions!$A:$A,"&lt;="&amp;SemesterEnd))</f>
        <v/>
      </c>
      <c r="G31" s="16">
        <f>IF($B31="","",MIN(1,E31/RequiredHours))</f>
        <v/>
      </c>
      <c r="H31" s="9">
        <f>IF($B31="","",IF(E31&gt;=RequiredHours,"Done","In progress"))</f>
        <v/>
      </c>
      <c r="I31" s="10">
        <f>IF($B31="","",MAX(0,RequiredHours-E31))</f>
        <v/>
      </c>
    </row>
    <row r="32">
      <c r="A32" s="9" t="n"/>
      <c r="B32" s="9" t="n"/>
      <c r="C32" s="9" t="n"/>
      <c r="D32" s="15" t="n"/>
      <c r="E32" s="10">
        <f>IF($B32="","",SUMIFS(Sessions!$I:$I,Sessions!$B:$B,$B32,Sessions!$A:$A,"&gt;="&amp;SemesterStart,Sessions!$A:$A,"&lt;="&amp;SemesterEnd))</f>
        <v/>
      </c>
      <c r="F32" s="10">
        <f>IF($B32="","",SUMIFS(Sessions!$F:$F,Sessions!$B:$B,$B32,Sessions!$G:$G,"Waiting",Sessions!$A:$A,"&gt;="&amp;SemesterStart,Sessions!$A:$A,"&lt;="&amp;SemesterEnd))</f>
        <v/>
      </c>
      <c r="G32" s="16">
        <f>IF($B32="","",MIN(1,E32/RequiredHours))</f>
        <v/>
      </c>
      <c r="H32" s="9">
        <f>IF($B32="","",IF(E32&gt;=RequiredHours,"Done","In progress"))</f>
        <v/>
      </c>
      <c r="I32" s="10">
        <f>IF($B32="","",MAX(0,RequiredHours-E32))</f>
        <v/>
      </c>
    </row>
    <row r="33">
      <c r="A33" s="9" t="n"/>
      <c r="B33" s="9" t="n"/>
      <c r="C33" s="9" t="n"/>
      <c r="D33" s="15" t="n"/>
      <c r="E33" s="10">
        <f>IF($B33="","",SUMIFS(Sessions!$I:$I,Sessions!$B:$B,$B33,Sessions!$A:$A,"&gt;="&amp;SemesterStart,Sessions!$A:$A,"&lt;="&amp;SemesterEnd))</f>
        <v/>
      </c>
      <c r="F33" s="10">
        <f>IF($B33="","",SUMIFS(Sessions!$F:$F,Sessions!$B:$B,$B33,Sessions!$G:$G,"Waiting",Sessions!$A:$A,"&gt;="&amp;SemesterStart,Sessions!$A:$A,"&lt;="&amp;SemesterEnd))</f>
        <v/>
      </c>
      <c r="G33" s="16">
        <f>IF($B33="","",MIN(1,E33/RequiredHours))</f>
        <v/>
      </c>
      <c r="H33" s="9">
        <f>IF($B33="","",IF(E33&gt;=RequiredHours,"Done","In progress"))</f>
        <v/>
      </c>
      <c r="I33" s="10">
        <f>IF($B33="","",MAX(0,RequiredHours-E33))</f>
        <v/>
      </c>
    </row>
    <row r="34">
      <c r="A34" s="9" t="n"/>
      <c r="B34" s="9" t="n"/>
      <c r="C34" s="9" t="n"/>
      <c r="D34" s="15" t="n"/>
      <c r="E34" s="10">
        <f>IF($B34="","",SUMIFS(Sessions!$I:$I,Sessions!$B:$B,$B34,Sessions!$A:$A,"&gt;="&amp;SemesterStart,Sessions!$A:$A,"&lt;="&amp;SemesterEnd))</f>
        <v/>
      </c>
      <c r="F34" s="10">
        <f>IF($B34="","",SUMIFS(Sessions!$F:$F,Sessions!$B:$B,$B34,Sessions!$G:$G,"Waiting",Sessions!$A:$A,"&gt;="&amp;SemesterStart,Sessions!$A:$A,"&lt;="&amp;SemesterEnd))</f>
        <v/>
      </c>
      <c r="G34" s="16">
        <f>IF($B34="","",MIN(1,E34/RequiredHours))</f>
        <v/>
      </c>
      <c r="H34" s="9">
        <f>IF($B34="","",IF(E34&gt;=RequiredHours,"Done","In progress"))</f>
        <v/>
      </c>
      <c r="I34" s="10">
        <f>IF($B34="","",MAX(0,RequiredHours-E34))</f>
        <v/>
      </c>
    </row>
    <row r="35">
      <c r="A35" s="9" t="n"/>
      <c r="B35" s="9" t="n"/>
      <c r="C35" s="9" t="n"/>
      <c r="D35" s="15" t="n"/>
      <c r="E35" s="10">
        <f>IF($B35="","",SUMIFS(Sessions!$I:$I,Sessions!$B:$B,$B35,Sessions!$A:$A,"&gt;="&amp;SemesterStart,Sessions!$A:$A,"&lt;="&amp;SemesterEnd))</f>
        <v/>
      </c>
      <c r="F35" s="10">
        <f>IF($B35="","",SUMIFS(Sessions!$F:$F,Sessions!$B:$B,$B35,Sessions!$G:$G,"Waiting",Sessions!$A:$A,"&gt;="&amp;SemesterStart,Sessions!$A:$A,"&lt;="&amp;SemesterEnd))</f>
        <v/>
      </c>
      <c r="G35" s="16">
        <f>IF($B35="","",MIN(1,E35/RequiredHours))</f>
        <v/>
      </c>
      <c r="H35" s="9">
        <f>IF($B35="","",IF(E35&gt;=RequiredHours,"Done","In progress"))</f>
        <v/>
      </c>
      <c r="I35" s="10">
        <f>IF($B35="","",MAX(0,RequiredHours-E35))</f>
        <v/>
      </c>
    </row>
    <row r="36">
      <c r="A36" s="9" t="n"/>
      <c r="B36" s="9" t="n"/>
      <c r="C36" s="9" t="n"/>
      <c r="D36" s="15" t="n"/>
      <c r="E36" s="10">
        <f>IF($B36="","",SUMIFS(Sessions!$I:$I,Sessions!$B:$B,$B36,Sessions!$A:$A,"&gt;="&amp;SemesterStart,Sessions!$A:$A,"&lt;="&amp;SemesterEnd))</f>
        <v/>
      </c>
      <c r="F36" s="10">
        <f>IF($B36="","",SUMIFS(Sessions!$F:$F,Sessions!$B:$B,$B36,Sessions!$G:$G,"Waiting",Sessions!$A:$A,"&gt;="&amp;SemesterStart,Sessions!$A:$A,"&lt;="&amp;SemesterEnd))</f>
        <v/>
      </c>
      <c r="G36" s="16">
        <f>IF($B36="","",MIN(1,E36/RequiredHours))</f>
        <v/>
      </c>
      <c r="H36" s="9">
        <f>IF($B36="","",IF(E36&gt;=RequiredHours,"Done","In progress"))</f>
        <v/>
      </c>
      <c r="I36" s="10">
        <f>IF($B36="","",MAX(0,RequiredHours-E36))</f>
        <v/>
      </c>
    </row>
    <row r="37">
      <c r="A37" s="9" t="n"/>
      <c r="B37" s="9" t="n"/>
      <c r="C37" s="9" t="n"/>
      <c r="D37" s="15" t="n"/>
      <c r="E37" s="10">
        <f>IF($B37="","",SUMIFS(Sessions!$I:$I,Sessions!$B:$B,$B37,Sessions!$A:$A,"&gt;="&amp;SemesterStart,Sessions!$A:$A,"&lt;="&amp;SemesterEnd))</f>
        <v/>
      </c>
      <c r="F37" s="10">
        <f>IF($B37="","",SUMIFS(Sessions!$F:$F,Sessions!$B:$B,$B37,Sessions!$G:$G,"Waiting",Sessions!$A:$A,"&gt;="&amp;SemesterStart,Sessions!$A:$A,"&lt;="&amp;SemesterEnd))</f>
        <v/>
      </c>
      <c r="G37" s="16">
        <f>IF($B37="","",MIN(1,E37/RequiredHours))</f>
        <v/>
      </c>
      <c r="H37" s="9">
        <f>IF($B37="","",IF(E37&gt;=RequiredHours,"Done","In progress"))</f>
        <v/>
      </c>
      <c r="I37" s="10">
        <f>IF($B37="","",MAX(0,RequiredHours-E37))</f>
        <v/>
      </c>
    </row>
    <row r="38">
      <c r="A38" s="9" t="n"/>
      <c r="B38" s="9" t="n"/>
      <c r="C38" s="9" t="n"/>
      <c r="D38" s="15" t="n"/>
      <c r="E38" s="10">
        <f>IF($B38="","",SUMIFS(Sessions!$I:$I,Sessions!$B:$B,$B38,Sessions!$A:$A,"&gt;="&amp;SemesterStart,Sessions!$A:$A,"&lt;="&amp;SemesterEnd))</f>
        <v/>
      </c>
      <c r="F38" s="10">
        <f>IF($B38="","",SUMIFS(Sessions!$F:$F,Sessions!$B:$B,$B38,Sessions!$G:$G,"Waiting",Sessions!$A:$A,"&gt;="&amp;SemesterStart,Sessions!$A:$A,"&lt;="&amp;SemesterEnd))</f>
        <v/>
      </c>
      <c r="G38" s="16">
        <f>IF($B38="","",MIN(1,E38/RequiredHours))</f>
        <v/>
      </c>
      <c r="H38" s="9">
        <f>IF($B38="","",IF(E38&gt;=RequiredHours,"Done","In progress"))</f>
        <v/>
      </c>
      <c r="I38" s="10">
        <f>IF($B38="","",MAX(0,RequiredHours-E38))</f>
        <v/>
      </c>
    </row>
    <row r="39">
      <c r="A39" s="9" t="n"/>
      <c r="B39" s="9" t="n"/>
      <c r="C39" s="9" t="n"/>
      <c r="D39" s="15" t="n"/>
      <c r="E39" s="10">
        <f>IF($B39="","",SUMIFS(Sessions!$I:$I,Sessions!$B:$B,$B39,Sessions!$A:$A,"&gt;="&amp;SemesterStart,Sessions!$A:$A,"&lt;="&amp;SemesterEnd))</f>
        <v/>
      </c>
      <c r="F39" s="10">
        <f>IF($B39="","",SUMIFS(Sessions!$F:$F,Sessions!$B:$B,$B39,Sessions!$G:$G,"Waiting",Sessions!$A:$A,"&gt;="&amp;SemesterStart,Sessions!$A:$A,"&lt;="&amp;SemesterEnd))</f>
        <v/>
      </c>
      <c r="G39" s="16">
        <f>IF($B39="","",MIN(1,E39/RequiredHours))</f>
        <v/>
      </c>
      <c r="H39" s="9">
        <f>IF($B39="","",IF(E39&gt;=RequiredHours,"Done","In progress"))</f>
        <v/>
      </c>
      <c r="I39" s="10">
        <f>IF($B39="","",MAX(0,RequiredHours-E39))</f>
        <v/>
      </c>
    </row>
    <row r="40">
      <c r="A40" s="9" t="n"/>
      <c r="B40" s="9" t="n"/>
      <c r="C40" s="9" t="n"/>
      <c r="D40" s="15" t="n"/>
      <c r="E40" s="10">
        <f>IF($B40="","",SUMIFS(Sessions!$I:$I,Sessions!$B:$B,$B40,Sessions!$A:$A,"&gt;="&amp;SemesterStart,Sessions!$A:$A,"&lt;="&amp;SemesterEnd))</f>
        <v/>
      </c>
      <c r="F40" s="10">
        <f>IF($B40="","",SUMIFS(Sessions!$F:$F,Sessions!$B:$B,$B40,Sessions!$G:$G,"Waiting",Sessions!$A:$A,"&gt;="&amp;SemesterStart,Sessions!$A:$A,"&lt;="&amp;SemesterEnd))</f>
        <v/>
      </c>
      <c r="G40" s="16">
        <f>IF($B40="","",MIN(1,E40/RequiredHours))</f>
        <v/>
      </c>
      <c r="H40" s="9">
        <f>IF($B40="","",IF(E40&gt;=RequiredHours,"Done","In progress"))</f>
        <v/>
      </c>
      <c r="I40" s="10">
        <f>IF($B40="","",MAX(0,RequiredHours-E40))</f>
        <v/>
      </c>
    </row>
    <row r="41">
      <c r="A41" s="9" t="n"/>
      <c r="B41" s="9" t="n"/>
      <c r="C41" s="9" t="n"/>
      <c r="D41" s="15" t="n"/>
      <c r="E41" s="10">
        <f>IF($B41="","",SUMIFS(Sessions!$I:$I,Sessions!$B:$B,$B41,Sessions!$A:$A,"&gt;="&amp;SemesterStart,Sessions!$A:$A,"&lt;="&amp;SemesterEnd))</f>
        <v/>
      </c>
      <c r="F41" s="10">
        <f>IF($B41="","",SUMIFS(Sessions!$F:$F,Sessions!$B:$B,$B41,Sessions!$G:$G,"Waiting",Sessions!$A:$A,"&gt;="&amp;SemesterStart,Sessions!$A:$A,"&lt;="&amp;SemesterEnd))</f>
        <v/>
      </c>
      <c r="G41" s="16">
        <f>IF($B41="","",MIN(1,E41/RequiredHours))</f>
        <v/>
      </c>
      <c r="H41" s="9">
        <f>IF($B41="","",IF(E41&gt;=RequiredHours,"Done","In progress"))</f>
        <v/>
      </c>
      <c r="I41" s="10">
        <f>IF($B41="","",MAX(0,RequiredHours-E41))</f>
        <v/>
      </c>
    </row>
    <row r="42">
      <c r="A42" s="9" t="n"/>
      <c r="B42" s="9" t="n"/>
      <c r="C42" s="9" t="n"/>
      <c r="D42" s="15" t="n"/>
      <c r="E42" s="10">
        <f>IF($B42="","",SUMIFS(Sessions!$I:$I,Sessions!$B:$B,$B42,Sessions!$A:$A,"&gt;="&amp;SemesterStart,Sessions!$A:$A,"&lt;="&amp;SemesterEnd))</f>
        <v/>
      </c>
      <c r="F42" s="10">
        <f>IF($B42="","",SUMIFS(Sessions!$F:$F,Sessions!$B:$B,$B42,Sessions!$G:$G,"Waiting",Sessions!$A:$A,"&gt;="&amp;SemesterStart,Sessions!$A:$A,"&lt;="&amp;SemesterEnd))</f>
        <v/>
      </c>
      <c r="G42" s="16">
        <f>IF($B42="","",MIN(1,E42/RequiredHours))</f>
        <v/>
      </c>
      <c r="H42" s="9">
        <f>IF($B42="","",IF(E42&gt;=RequiredHours,"Done","In progress"))</f>
        <v/>
      </c>
      <c r="I42" s="10">
        <f>IF($B42="","",MAX(0,RequiredHours-E42))</f>
        <v/>
      </c>
    </row>
    <row r="43">
      <c r="A43" s="9" t="n"/>
      <c r="B43" s="9" t="n"/>
      <c r="C43" s="9" t="n"/>
      <c r="D43" s="15" t="n"/>
      <c r="E43" s="10">
        <f>IF($B43="","",SUMIFS(Sessions!$I:$I,Sessions!$B:$B,$B43,Sessions!$A:$A,"&gt;="&amp;SemesterStart,Sessions!$A:$A,"&lt;="&amp;SemesterEnd))</f>
        <v/>
      </c>
      <c r="F43" s="10">
        <f>IF($B43="","",SUMIFS(Sessions!$F:$F,Sessions!$B:$B,$B43,Sessions!$G:$G,"Waiting",Sessions!$A:$A,"&gt;="&amp;SemesterStart,Sessions!$A:$A,"&lt;="&amp;SemesterEnd))</f>
        <v/>
      </c>
      <c r="G43" s="16">
        <f>IF($B43="","",MIN(1,E43/RequiredHours))</f>
        <v/>
      </c>
      <c r="H43" s="9">
        <f>IF($B43="","",IF(E43&gt;=RequiredHours,"Done","In progress"))</f>
        <v/>
      </c>
      <c r="I43" s="10">
        <f>IF($B43="","",MAX(0,RequiredHours-E43))</f>
        <v/>
      </c>
    </row>
    <row r="44">
      <c r="A44" s="9" t="n"/>
      <c r="B44" s="9" t="n"/>
      <c r="C44" s="9" t="n"/>
      <c r="D44" s="15" t="n"/>
      <c r="E44" s="10">
        <f>IF($B44="","",SUMIFS(Sessions!$I:$I,Sessions!$B:$B,$B44,Sessions!$A:$A,"&gt;="&amp;SemesterStart,Sessions!$A:$A,"&lt;="&amp;SemesterEnd))</f>
        <v/>
      </c>
      <c r="F44" s="10">
        <f>IF($B44="","",SUMIFS(Sessions!$F:$F,Sessions!$B:$B,$B44,Sessions!$G:$G,"Waiting",Sessions!$A:$A,"&gt;="&amp;SemesterStart,Sessions!$A:$A,"&lt;="&amp;SemesterEnd))</f>
        <v/>
      </c>
      <c r="G44" s="16">
        <f>IF($B44="","",MIN(1,E44/RequiredHours))</f>
        <v/>
      </c>
      <c r="H44" s="9">
        <f>IF($B44="","",IF(E44&gt;=RequiredHours,"Done","In progress"))</f>
        <v/>
      </c>
      <c r="I44" s="10">
        <f>IF($B44="","",MAX(0,RequiredHours-E44))</f>
        <v/>
      </c>
    </row>
    <row r="45">
      <c r="A45" s="9" t="n"/>
      <c r="B45" s="9" t="n"/>
      <c r="C45" s="9" t="n"/>
      <c r="D45" s="15" t="n"/>
      <c r="E45" s="10">
        <f>IF($B45="","",SUMIFS(Sessions!$I:$I,Sessions!$B:$B,$B45,Sessions!$A:$A,"&gt;="&amp;SemesterStart,Sessions!$A:$A,"&lt;="&amp;SemesterEnd))</f>
        <v/>
      </c>
      <c r="F45" s="10">
        <f>IF($B45="","",SUMIFS(Sessions!$F:$F,Sessions!$B:$B,$B45,Sessions!$G:$G,"Waiting",Sessions!$A:$A,"&gt;="&amp;SemesterStart,Sessions!$A:$A,"&lt;="&amp;SemesterEnd))</f>
        <v/>
      </c>
      <c r="G45" s="16">
        <f>IF($B45="","",MIN(1,E45/RequiredHours))</f>
        <v/>
      </c>
      <c r="H45" s="9">
        <f>IF($B45="","",IF(E45&gt;=RequiredHours,"Done","In progress"))</f>
        <v/>
      </c>
      <c r="I45" s="10">
        <f>IF($B45="","",MAX(0,RequiredHours-E45))</f>
        <v/>
      </c>
    </row>
    <row r="46">
      <c r="A46" s="9" t="n"/>
      <c r="B46" s="9" t="n"/>
      <c r="C46" s="9" t="n"/>
      <c r="D46" s="15" t="n"/>
      <c r="E46" s="10">
        <f>IF($B46="","",SUMIFS(Sessions!$I:$I,Sessions!$B:$B,$B46,Sessions!$A:$A,"&gt;="&amp;SemesterStart,Sessions!$A:$A,"&lt;="&amp;SemesterEnd))</f>
        <v/>
      </c>
      <c r="F46" s="10">
        <f>IF($B46="","",SUMIFS(Sessions!$F:$F,Sessions!$B:$B,$B46,Sessions!$G:$G,"Waiting",Sessions!$A:$A,"&gt;="&amp;SemesterStart,Sessions!$A:$A,"&lt;="&amp;SemesterEnd))</f>
        <v/>
      </c>
      <c r="G46" s="16">
        <f>IF($B46="","",MIN(1,E46/RequiredHours))</f>
        <v/>
      </c>
      <c r="H46" s="9">
        <f>IF($B46="","",IF(E46&gt;=RequiredHours,"Done","In progress"))</f>
        <v/>
      </c>
      <c r="I46" s="10">
        <f>IF($B46="","",MAX(0,RequiredHours-E46))</f>
        <v/>
      </c>
    </row>
    <row r="47">
      <c r="A47" s="9" t="n"/>
      <c r="B47" s="9" t="n"/>
      <c r="C47" s="9" t="n"/>
      <c r="D47" s="15" t="n"/>
      <c r="E47" s="10">
        <f>IF($B47="","",SUMIFS(Sessions!$I:$I,Sessions!$B:$B,$B47,Sessions!$A:$A,"&gt;="&amp;SemesterStart,Sessions!$A:$A,"&lt;="&amp;SemesterEnd))</f>
        <v/>
      </c>
      <c r="F47" s="10">
        <f>IF($B47="","",SUMIFS(Sessions!$F:$F,Sessions!$B:$B,$B47,Sessions!$G:$G,"Waiting",Sessions!$A:$A,"&gt;="&amp;SemesterStart,Sessions!$A:$A,"&lt;="&amp;SemesterEnd))</f>
        <v/>
      </c>
      <c r="G47" s="16">
        <f>IF($B47="","",MIN(1,E47/RequiredHours))</f>
        <v/>
      </c>
      <c r="H47" s="9">
        <f>IF($B47="","",IF(E47&gt;=RequiredHours,"Done","In progress"))</f>
        <v/>
      </c>
      <c r="I47" s="10">
        <f>IF($B47="","",MAX(0,RequiredHours-E47))</f>
        <v/>
      </c>
    </row>
    <row r="48">
      <c r="A48" s="9" t="n"/>
      <c r="B48" s="9" t="n"/>
      <c r="C48" s="9" t="n"/>
      <c r="D48" s="15" t="n"/>
      <c r="E48" s="10">
        <f>IF($B48="","",SUMIFS(Sessions!$I:$I,Sessions!$B:$B,$B48,Sessions!$A:$A,"&gt;="&amp;SemesterStart,Sessions!$A:$A,"&lt;="&amp;SemesterEnd))</f>
        <v/>
      </c>
      <c r="F48" s="10">
        <f>IF($B48="","",SUMIFS(Sessions!$F:$F,Sessions!$B:$B,$B48,Sessions!$G:$G,"Waiting",Sessions!$A:$A,"&gt;="&amp;SemesterStart,Sessions!$A:$A,"&lt;="&amp;SemesterEnd))</f>
        <v/>
      </c>
      <c r="G48" s="16">
        <f>IF($B48="","",MIN(1,E48/RequiredHours))</f>
        <v/>
      </c>
      <c r="H48" s="9">
        <f>IF($B48="","",IF(E48&gt;=RequiredHours,"Done","In progress"))</f>
        <v/>
      </c>
      <c r="I48" s="10">
        <f>IF($B48="","",MAX(0,RequiredHours-E48))</f>
        <v/>
      </c>
    </row>
    <row r="49">
      <c r="A49" s="9" t="n"/>
      <c r="B49" s="9" t="n"/>
      <c r="C49" s="9" t="n"/>
      <c r="D49" s="15" t="n"/>
      <c r="E49" s="10">
        <f>IF($B49="","",SUMIFS(Sessions!$I:$I,Sessions!$B:$B,$B49,Sessions!$A:$A,"&gt;="&amp;SemesterStart,Sessions!$A:$A,"&lt;="&amp;SemesterEnd))</f>
        <v/>
      </c>
      <c r="F49" s="10">
        <f>IF($B49="","",SUMIFS(Sessions!$F:$F,Sessions!$B:$B,$B49,Sessions!$G:$G,"Waiting",Sessions!$A:$A,"&gt;="&amp;SemesterStart,Sessions!$A:$A,"&lt;="&amp;SemesterEnd))</f>
        <v/>
      </c>
      <c r="G49" s="16">
        <f>IF($B49="","",MIN(1,E49/RequiredHours))</f>
        <v/>
      </c>
      <c r="H49" s="9">
        <f>IF($B49="","",IF(E49&gt;=RequiredHours,"Done","In progress"))</f>
        <v/>
      </c>
      <c r="I49" s="10">
        <f>IF($B49="","",MAX(0,RequiredHours-E49))</f>
        <v/>
      </c>
    </row>
    <row r="50">
      <c r="A50" s="9" t="n"/>
      <c r="B50" s="9" t="n"/>
      <c r="C50" s="9" t="n"/>
      <c r="D50" s="15" t="n"/>
      <c r="E50" s="10">
        <f>IF($B50="","",SUMIFS(Sessions!$I:$I,Sessions!$B:$B,$B50,Sessions!$A:$A,"&gt;="&amp;SemesterStart,Sessions!$A:$A,"&lt;="&amp;SemesterEnd))</f>
        <v/>
      </c>
      <c r="F50" s="10">
        <f>IF($B50="","",SUMIFS(Sessions!$F:$F,Sessions!$B:$B,$B50,Sessions!$G:$G,"Waiting",Sessions!$A:$A,"&gt;="&amp;SemesterStart,Sessions!$A:$A,"&lt;="&amp;SemesterEnd))</f>
        <v/>
      </c>
      <c r="G50" s="16">
        <f>IF($B50="","",MIN(1,E50/RequiredHours))</f>
        <v/>
      </c>
      <c r="H50" s="9">
        <f>IF($B50="","",IF(E50&gt;=RequiredHours,"Done","In progress"))</f>
        <v/>
      </c>
      <c r="I50" s="10">
        <f>IF($B50="","",MAX(0,RequiredHours-E50))</f>
        <v/>
      </c>
    </row>
    <row r="51">
      <c r="A51" s="9" t="n"/>
      <c r="B51" s="9" t="n"/>
      <c r="C51" s="9" t="n"/>
      <c r="D51" s="15" t="n"/>
      <c r="E51" s="10">
        <f>IF($B51="","",SUMIFS(Sessions!$I:$I,Sessions!$B:$B,$B51,Sessions!$A:$A,"&gt;="&amp;SemesterStart,Sessions!$A:$A,"&lt;="&amp;SemesterEnd))</f>
        <v/>
      </c>
      <c r="F51" s="10">
        <f>IF($B51="","",SUMIFS(Sessions!$F:$F,Sessions!$B:$B,$B51,Sessions!$G:$G,"Waiting",Sessions!$A:$A,"&gt;="&amp;SemesterStart,Sessions!$A:$A,"&lt;="&amp;SemesterEnd))</f>
        <v/>
      </c>
      <c r="G51" s="16">
        <f>IF($B51="","",MIN(1,E51/RequiredHours))</f>
        <v/>
      </c>
      <c r="H51" s="9">
        <f>IF($B51="","",IF(E51&gt;=RequiredHours,"Done","In progress"))</f>
        <v/>
      </c>
      <c r="I51" s="10">
        <f>IF($B51="","",MAX(0,RequiredHours-E51))</f>
        <v/>
      </c>
    </row>
    <row r="52">
      <c r="A52" s="9" t="n"/>
      <c r="B52" s="9" t="n"/>
      <c r="C52" s="9" t="n"/>
      <c r="D52" s="15" t="n"/>
      <c r="E52" s="10">
        <f>IF($B52="","",SUMIFS(Sessions!$I:$I,Sessions!$B:$B,$B52,Sessions!$A:$A,"&gt;="&amp;SemesterStart,Sessions!$A:$A,"&lt;="&amp;SemesterEnd))</f>
        <v/>
      </c>
      <c r="F52" s="10">
        <f>IF($B52="","",SUMIFS(Sessions!$F:$F,Sessions!$B:$B,$B52,Sessions!$G:$G,"Waiting",Sessions!$A:$A,"&gt;="&amp;SemesterStart,Sessions!$A:$A,"&lt;="&amp;SemesterEnd))</f>
        <v/>
      </c>
      <c r="G52" s="16">
        <f>IF($B52="","",MIN(1,E52/RequiredHours))</f>
        <v/>
      </c>
      <c r="H52" s="9">
        <f>IF($B52="","",IF(E52&gt;=RequiredHours,"Done","In progress"))</f>
        <v/>
      </c>
      <c r="I52" s="10">
        <f>IF($B52="","",MAX(0,RequiredHours-E52))</f>
        <v/>
      </c>
    </row>
    <row r="53">
      <c r="A53" s="9" t="n"/>
      <c r="B53" s="9" t="n"/>
      <c r="C53" s="9" t="n"/>
      <c r="D53" s="15" t="n"/>
      <c r="E53" s="10">
        <f>IF($B53="","",SUMIFS(Sessions!$I:$I,Sessions!$B:$B,$B53,Sessions!$A:$A,"&gt;="&amp;SemesterStart,Sessions!$A:$A,"&lt;="&amp;SemesterEnd))</f>
        <v/>
      </c>
      <c r="F53" s="10">
        <f>IF($B53="","",SUMIFS(Sessions!$F:$F,Sessions!$B:$B,$B53,Sessions!$G:$G,"Waiting",Sessions!$A:$A,"&gt;="&amp;SemesterStart,Sessions!$A:$A,"&lt;="&amp;SemesterEnd))</f>
        <v/>
      </c>
      <c r="G53" s="16">
        <f>IF($B53="","",MIN(1,E53/RequiredHours))</f>
        <v/>
      </c>
      <c r="H53" s="9">
        <f>IF($B53="","",IF(E53&gt;=RequiredHours,"Done","In progress"))</f>
        <v/>
      </c>
      <c r="I53" s="10">
        <f>IF($B53="","",MAX(0,RequiredHours-E53))</f>
        <v/>
      </c>
    </row>
    <row r="54">
      <c r="A54" s="9" t="n"/>
      <c r="B54" s="9" t="n"/>
      <c r="C54" s="9" t="n"/>
      <c r="D54" s="15" t="n"/>
      <c r="E54" s="10">
        <f>IF($B54="","",SUMIFS(Sessions!$I:$I,Sessions!$B:$B,$B54,Sessions!$A:$A,"&gt;="&amp;SemesterStart,Sessions!$A:$A,"&lt;="&amp;SemesterEnd))</f>
        <v/>
      </c>
      <c r="F54" s="10">
        <f>IF($B54="","",SUMIFS(Sessions!$F:$F,Sessions!$B:$B,$B54,Sessions!$G:$G,"Waiting",Sessions!$A:$A,"&gt;="&amp;SemesterStart,Sessions!$A:$A,"&lt;="&amp;SemesterEnd))</f>
        <v/>
      </c>
      <c r="G54" s="16">
        <f>IF($B54="","",MIN(1,E54/RequiredHours))</f>
        <v/>
      </c>
      <c r="H54" s="9">
        <f>IF($B54="","",IF(E54&gt;=RequiredHours,"Done","In progress"))</f>
        <v/>
      </c>
      <c r="I54" s="10">
        <f>IF($B54="","",MAX(0,RequiredHours-E54))</f>
        <v/>
      </c>
    </row>
    <row r="55">
      <c r="A55" s="9" t="n"/>
      <c r="B55" s="9" t="n"/>
      <c r="C55" s="9" t="n"/>
      <c r="D55" s="15" t="n"/>
      <c r="E55" s="10">
        <f>IF($B55="","",SUMIFS(Sessions!$I:$I,Sessions!$B:$B,$B55,Sessions!$A:$A,"&gt;="&amp;SemesterStart,Sessions!$A:$A,"&lt;="&amp;SemesterEnd))</f>
        <v/>
      </c>
      <c r="F55" s="10">
        <f>IF($B55="","",SUMIFS(Sessions!$F:$F,Sessions!$B:$B,$B55,Sessions!$G:$G,"Waiting",Sessions!$A:$A,"&gt;="&amp;SemesterStart,Sessions!$A:$A,"&lt;="&amp;SemesterEnd))</f>
        <v/>
      </c>
      <c r="G55" s="16">
        <f>IF($B55="","",MIN(1,E55/RequiredHours))</f>
        <v/>
      </c>
      <c r="H55" s="9">
        <f>IF($B55="","",IF(E55&gt;=RequiredHours,"Done","In progress"))</f>
        <v/>
      </c>
      <c r="I55" s="10">
        <f>IF($B55="","",MAX(0,RequiredHours-E55))</f>
        <v/>
      </c>
    </row>
    <row r="56">
      <c r="A56" s="9" t="n"/>
      <c r="B56" s="9" t="n"/>
      <c r="C56" s="9" t="n"/>
      <c r="D56" s="15" t="n"/>
      <c r="E56" s="10">
        <f>IF($B56="","",SUMIFS(Sessions!$I:$I,Sessions!$B:$B,$B56,Sessions!$A:$A,"&gt;="&amp;SemesterStart,Sessions!$A:$A,"&lt;="&amp;SemesterEnd))</f>
        <v/>
      </c>
      <c r="F56" s="10">
        <f>IF($B56="","",SUMIFS(Sessions!$F:$F,Sessions!$B:$B,$B56,Sessions!$G:$G,"Waiting",Sessions!$A:$A,"&gt;="&amp;SemesterStart,Sessions!$A:$A,"&lt;="&amp;SemesterEnd))</f>
        <v/>
      </c>
      <c r="G56" s="16">
        <f>IF($B56="","",MIN(1,E56/RequiredHours))</f>
        <v/>
      </c>
      <c r="H56" s="9">
        <f>IF($B56="","",IF(E56&gt;=RequiredHours,"Done","In progress"))</f>
        <v/>
      </c>
      <c r="I56" s="10">
        <f>IF($B56="","",MAX(0,RequiredHours-E56))</f>
        <v/>
      </c>
    </row>
    <row r="57">
      <c r="A57" s="9" t="n"/>
      <c r="B57" s="9" t="n"/>
      <c r="C57" s="9" t="n"/>
      <c r="D57" s="15" t="n"/>
      <c r="E57" s="10">
        <f>IF($B57="","",SUMIFS(Sessions!$I:$I,Sessions!$B:$B,$B57,Sessions!$A:$A,"&gt;="&amp;SemesterStart,Sessions!$A:$A,"&lt;="&amp;SemesterEnd))</f>
        <v/>
      </c>
      <c r="F57" s="10">
        <f>IF($B57="","",SUMIFS(Sessions!$F:$F,Sessions!$B:$B,$B57,Sessions!$G:$G,"Waiting",Sessions!$A:$A,"&gt;="&amp;SemesterStart,Sessions!$A:$A,"&lt;="&amp;SemesterEnd))</f>
        <v/>
      </c>
      <c r="G57" s="16">
        <f>IF($B57="","",MIN(1,E57/RequiredHours))</f>
        <v/>
      </c>
      <c r="H57" s="9">
        <f>IF($B57="","",IF(E57&gt;=RequiredHours,"Done","In progress"))</f>
        <v/>
      </c>
      <c r="I57" s="10">
        <f>IF($B57="","",MAX(0,RequiredHours-E57))</f>
        <v/>
      </c>
    </row>
    <row r="58">
      <c r="A58" s="9" t="n"/>
      <c r="B58" s="9" t="n"/>
      <c r="C58" s="9" t="n"/>
      <c r="D58" s="15" t="n"/>
      <c r="E58" s="10">
        <f>IF($B58="","",SUMIFS(Sessions!$I:$I,Sessions!$B:$B,$B58,Sessions!$A:$A,"&gt;="&amp;SemesterStart,Sessions!$A:$A,"&lt;="&amp;SemesterEnd))</f>
        <v/>
      </c>
      <c r="F58" s="10">
        <f>IF($B58="","",SUMIFS(Sessions!$F:$F,Sessions!$B:$B,$B58,Sessions!$G:$G,"Waiting",Sessions!$A:$A,"&gt;="&amp;SemesterStart,Sessions!$A:$A,"&lt;="&amp;SemesterEnd))</f>
        <v/>
      </c>
      <c r="G58" s="16">
        <f>IF($B58="","",MIN(1,E58/RequiredHours))</f>
        <v/>
      </c>
      <c r="H58" s="9">
        <f>IF($B58="","",IF(E58&gt;=RequiredHours,"Done","In progress"))</f>
        <v/>
      </c>
      <c r="I58" s="10">
        <f>IF($B58="","",MAX(0,RequiredHours-E58))</f>
        <v/>
      </c>
    </row>
    <row r="59">
      <c r="A59" s="9" t="n"/>
      <c r="B59" s="9" t="n"/>
      <c r="C59" s="9" t="n"/>
      <c r="D59" s="15" t="n"/>
      <c r="E59" s="10">
        <f>IF($B59="","",SUMIFS(Sessions!$I:$I,Sessions!$B:$B,$B59,Sessions!$A:$A,"&gt;="&amp;SemesterStart,Sessions!$A:$A,"&lt;="&amp;SemesterEnd))</f>
        <v/>
      </c>
      <c r="F59" s="10">
        <f>IF($B59="","",SUMIFS(Sessions!$F:$F,Sessions!$B:$B,$B59,Sessions!$G:$G,"Waiting",Sessions!$A:$A,"&gt;="&amp;SemesterStart,Sessions!$A:$A,"&lt;="&amp;SemesterEnd))</f>
        <v/>
      </c>
      <c r="G59" s="16">
        <f>IF($B59="","",MIN(1,E59/RequiredHours))</f>
        <v/>
      </c>
      <c r="H59" s="9">
        <f>IF($B59="","",IF(E59&gt;=RequiredHours,"Done","In progress"))</f>
        <v/>
      </c>
      <c r="I59" s="10">
        <f>IF($B59="","",MAX(0,RequiredHours-E59))</f>
        <v/>
      </c>
    </row>
    <row r="60">
      <c r="A60" s="9" t="n"/>
      <c r="B60" s="9" t="n"/>
      <c r="C60" s="9" t="n"/>
      <c r="D60" s="15" t="n"/>
      <c r="E60" s="10">
        <f>IF($B60="","",SUMIFS(Sessions!$I:$I,Sessions!$B:$B,$B60,Sessions!$A:$A,"&gt;="&amp;SemesterStart,Sessions!$A:$A,"&lt;="&amp;SemesterEnd))</f>
        <v/>
      </c>
      <c r="F60" s="10">
        <f>IF($B60="","",SUMIFS(Sessions!$F:$F,Sessions!$B:$B,$B60,Sessions!$G:$G,"Waiting",Sessions!$A:$A,"&gt;="&amp;SemesterStart,Sessions!$A:$A,"&lt;="&amp;SemesterEnd))</f>
        <v/>
      </c>
      <c r="G60" s="16">
        <f>IF($B60="","",MIN(1,E60/RequiredHours))</f>
        <v/>
      </c>
      <c r="H60" s="9">
        <f>IF($B60="","",IF(E60&gt;=RequiredHours,"Done","In progress"))</f>
        <v/>
      </c>
      <c r="I60" s="10">
        <f>IF($B60="","",MAX(0,RequiredHours-E60))</f>
        <v/>
      </c>
    </row>
    <row r="61">
      <c r="A61" s="9" t="n"/>
      <c r="B61" s="9" t="n"/>
      <c r="C61" s="9" t="n"/>
      <c r="D61" s="15" t="n"/>
      <c r="E61" s="10">
        <f>IF($B61="","",SUMIFS(Sessions!$I:$I,Sessions!$B:$B,$B61,Sessions!$A:$A,"&gt;="&amp;SemesterStart,Sessions!$A:$A,"&lt;="&amp;SemesterEnd))</f>
        <v/>
      </c>
      <c r="F61" s="10">
        <f>IF($B61="","",SUMIFS(Sessions!$F:$F,Sessions!$B:$B,$B61,Sessions!$G:$G,"Waiting",Sessions!$A:$A,"&gt;="&amp;SemesterStart,Sessions!$A:$A,"&lt;="&amp;SemesterEnd))</f>
        <v/>
      </c>
      <c r="G61" s="16">
        <f>IF($B61="","",MIN(1,E61/RequiredHours))</f>
        <v/>
      </c>
      <c r="H61" s="9">
        <f>IF($B61="","",IF(E61&gt;=RequiredHours,"Done","In progress"))</f>
        <v/>
      </c>
      <c r="I61" s="10">
        <f>IF($B61="","",MAX(0,RequiredHours-E61))</f>
        <v/>
      </c>
    </row>
    <row r="62">
      <c r="A62" s="9" t="n"/>
      <c r="B62" s="9" t="n"/>
      <c r="C62" s="9" t="n"/>
      <c r="D62" s="15" t="n"/>
      <c r="E62" s="10">
        <f>IF($B62="","",SUMIFS(Sessions!$I:$I,Sessions!$B:$B,$B62,Sessions!$A:$A,"&gt;="&amp;SemesterStart,Sessions!$A:$A,"&lt;="&amp;SemesterEnd))</f>
        <v/>
      </c>
      <c r="F62" s="10">
        <f>IF($B62="","",SUMIFS(Sessions!$F:$F,Sessions!$B:$B,$B62,Sessions!$G:$G,"Waiting",Sessions!$A:$A,"&gt;="&amp;SemesterStart,Sessions!$A:$A,"&lt;="&amp;SemesterEnd))</f>
        <v/>
      </c>
      <c r="G62" s="16">
        <f>IF($B62="","",MIN(1,E62/RequiredHours))</f>
        <v/>
      </c>
      <c r="H62" s="9">
        <f>IF($B62="","",IF(E62&gt;=RequiredHours,"Done","In progress"))</f>
        <v/>
      </c>
      <c r="I62" s="10">
        <f>IF($B62="","",MAX(0,RequiredHours-E62))</f>
        <v/>
      </c>
    </row>
    <row r="63">
      <c r="A63" s="9" t="n"/>
      <c r="B63" s="9" t="n"/>
      <c r="C63" s="9" t="n"/>
      <c r="D63" s="15" t="n"/>
      <c r="E63" s="10">
        <f>IF($B63="","",SUMIFS(Sessions!$I:$I,Sessions!$B:$B,$B63,Sessions!$A:$A,"&gt;="&amp;SemesterStart,Sessions!$A:$A,"&lt;="&amp;SemesterEnd))</f>
        <v/>
      </c>
      <c r="F63" s="10">
        <f>IF($B63="","",SUMIFS(Sessions!$F:$F,Sessions!$B:$B,$B63,Sessions!$G:$G,"Waiting",Sessions!$A:$A,"&gt;="&amp;SemesterStart,Sessions!$A:$A,"&lt;="&amp;SemesterEnd))</f>
        <v/>
      </c>
      <c r="G63" s="16">
        <f>IF($B63="","",MIN(1,E63/RequiredHours))</f>
        <v/>
      </c>
      <c r="H63" s="9">
        <f>IF($B63="","",IF(E63&gt;=RequiredHours,"Done","In progress"))</f>
        <v/>
      </c>
      <c r="I63" s="10">
        <f>IF($B63="","",MAX(0,RequiredHours-E63))</f>
        <v/>
      </c>
    </row>
    <row r="64">
      <c r="A64" s="9" t="n"/>
      <c r="B64" s="9" t="n"/>
      <c r="C64" s="9" t="n"/>
      <c r="D64" s="15" t="n"/>
      <c r="E64" s="10">
        <f>IF($B64="","",SUMIFS(Sessions!$I:$I,Sessions!$B:$B,$B64,Sessions!$A:$A,"&gt;="&amp;SemesterStart,Sessions!$A:$A,"&lt;="&amp;SemesterEnd))</f>
        <v/>
      </c>
      <c r="F64" s="10">
        <f>IF($B64="","",SUMIFS(Sessions!$F:$F,Sessions!$B:$B,$B64,Sessions!$G:$G,"Waiting",Sessions!$A:$A,"&gt;="&amp;SemesterStart,Sessions!$A:$A,"&lt;="&amp;SemesterEnd))</f>
        <v/>
      </c>
      <c r="G64" s="16">
        <f>IF($B64="","",MIN(1,E64/RequiredHours))</f>
        <v/>
      </c>
      <c r="H64" s="9">
        <f>IF($B64="","",IF(E64&gt;=RequiredHours,"Done","In progress"))</f>
        <v/>
      </c>
      <c r="I64" s="10">
        <f>IF($B64="","",MAX(0,RequiredHours-E64))</f>
        <v/>
      </c>
    </row>
    <row r="65">
      <c r="A65" s="9" t="n"/>
      <c r="B65" s="9" t="n"/>
      <c r="C65" s="9" t="n"/>
      <c r="D65" s="15" t="n"/>
      <c r="E65" s="10">
        <f>IF($B65="","",SUMIFS(Sessions!$I:$I,Sessions!$B:$B,$B65,Sessions!$A:$A,"&gt;="&amp;SemesterStart,Sessions!$A:$A,"&lt;="&amp;SemesterEnd))</f>
        <v/>
      </c>
      <c r="F65" s="10">
        <f>IF($B65="","",SUMIFS(Sessions!$F:$F,Sessions!$B:$B,$B65,Sessions!$G:$G,"Waiting",Sessions!$A:$A,"&gt;="&amp;SemesterStart,Sessions!$A:$A,"&lt;="&amp;SemesterEnd))</f>
        <v/>
      </c>
      <c r="G65" s="16">
        <f>IF($B65="","",MIN(1,E65/RequiredHours))</f>
        <v/>
      </c>
      <c r="H65" s="9">
        <f>IF($B65="","",IF(E65&gt;=RequiredHours,"Done","In progress"))</f>
        <v/>
      </c>
      <c r="I65" s="10">
        <f>IF($B65="","",MAX(0,RequiredHours-E65))</f>
        <v/>
      </c>
    </row>
    <row r="66">
      <c r="A66" s="9" t="n"/>
      <c r="B66" s="9" t="n"/>
      <c r="C66" s="9" t="n"/>
      <c r="D66" s="15" t="n"/>
      <c r="E66" s="10">
        <f>IF($B66="","",SUMIFS(Sessions!$I:$I,Sessions!$B:$B,$B66,Sessions!$A:$A,"&gt;="&amp;SemesterStart,Sessions!$A:$A,"&lt;="&amp;SemesterEnd))</f>
        <v/>
      </c>
      <c r="F66" s="10">
        <f>IF($B66="","",SUMIFS(Sessions!$F:$F,Sessions!$B:$B,$B66,Sessions!$G:$G,"Waiting",Sessions!$A:$A,"&gt;="&amp;SemesterStart,Sessions!$A:$A,"&lt;="&amp;SemesterEnd))</f>
        <v/>
      </c>
      <c r="G66" s="16">
        <f>IF($B66="","",MIN(1,E66/RequiredHours))</f>
        <v/>
      </c>
      <c r="H66" s="9">
        <f>IF($B66="","",IF(E66&gt;=RequiredHours,"Done","In progress"))</f>
        <v/>
      </c>
      <c r="I66" s="10">
        <f>IF($B66="","",MAX(0,RequiredHours-E66))</f>
        <v/>
      </c>
    </row>
    <row r="67">
      <c r="A67" s="9" t="n"/>
      <c r="B67" s="9" t="n"/>
      <c r="C67" s="9" t="n"/>
      <c r="D67" s="15" t="n"/>
      <c r="E67" s="10">
        <f>IF($B67="","",SUMIFS(Sessions!$I:$I,Sessions!$B:$B,$B67,Sessions!$A:$A,"&gt;="&amp;SemesterStart,Sessions!$A:$A,"&lt;="&amp;SemesterEnd))</f>
        <v/>
      </c>
      <c r="F67" s="10">
        <f>IF($B67="","",SUMIFS(Sessions!$F:$F,Sessions!$B:$B,$B67,Sessions!$G:$G,"Waiting",Sessions!$A:$A,"&gt;="&amp;SemesterStart,Sessions!$A:$A,"&lt;="&amp;SemesterEnd))</f>
        <v/>
      </c>
      <c r="G67" s="16">
        <f>IF($B67="","",MIN(1,E67/RequiredHours))</f>
        <v/>
      </c>
      <c r="H67" s="9">
        <f>IF($B67="","",IF(E67&gt;=RequiredHours,"Done","In progress"))</f>
        <v/>
      </c>
      <c r="I67" s="10">
        <f>IF($B67="","",MAX(0,RequiredHours-E67))</f>
        <v/>
      </c>
    </row>
    <row r="68">
      <c r="A68" s="9" t="n"/>
      <c r="B68" s="9" t="n"/>
      <c r="C68" s="9" t="n"/>
      <c r="D68" s="15" t="n"/>
      <c r="E68" s="10">
        <f>IF($B68="","",SUMIFS(Sessions!$I:$I,Sessions!$B:$B,$B68,Sessions!$A:$A,"&gt;="&amp;SemesterStart,Sessions!$A:$A,"&lt;="&amp;SemesterEnd))</f>
        <v/>
      </c>
      <c r="F68" s="10">
        <f>IF($B68="","",SUMIFS(Sessions!$F:$F,Sessions!$B:$B,$B68,Sessions!$G:$G,"Waiting",Sessions!$A:$A,"&gt;="&amp;SemesterStart,Sessions!$A:$A,"&lt;="&amp;SemesterEnd))</f>
        <v/>
      </c>
      <c r="G68" s="16">
        <f>IF($B68="","",MIN(1,E68/RequiredHours))</f>
        <v/>
      </c>
      <c r="H68" s="9">
        <f>IF($B68="","",IF(E68&gt;=RequiredHours,"Done","In progress"))</f>
        <v/>
      </c>
      <c r="I68" s="10">
        <f>IF($B68="","",MAX(0,RequiredHours-E68))</f>
        <v/>
      </c>
    </row>
    <row r="69">
      <c r="A69" s="9" t="n"/>
      <c r="B69" s="9" t="n"/>
      <c r="C69" s="9" t="n"/>
      <c r="D69" s="15" t="n"/>
      <c r="E69" s="10">
        <f>IF($B69="","",SUMIFS(Sessions!$I:$I,Sessions!$B:$B,$B69,Sessions!$A:$A,"&gt;="&amp;SemesterStart,Sessions!$A:$A,"&lt;="&amp;SemesterEnd))</f>
        <v/>
      </c>
      <c r="F69" s="10">
        <f>IF($B69="","",SUMIFS(Sessions!$F:$F,Sessions!$B:$B,$B69,Sessions!$G:$G,"Waiting",Sessions!$A:$A,"&gt;="&amp;SemesterStart,Sessions!$A:$A,"&lt;="&amp;SemesterEnd))</f>
        <v/>
      </c>
      <c r="G69" s="16">
        <f>IF($B69="","",MIN(1,E69/RequiredHours))</f>
        <v/>
      </c>
      <c r="H69" s="9">
        <f>IF($B69="","",IF(E69&gt;=RequiredHours,"Done","In progress"))</f>
        <v/>
      </c>
      <c r="I69" s="10">
        <f>IF($B69="","",MAX(0,RequiredHours-E69))</f>
        <v/>
      </c>
    </row>
    <row r="70">
      <c r="A70" s="9" t="n"/>
      <c r="B70" s="9" t="n"/>
      <c r="C70" s="9" t="n"/>
      <c r="D70" s="15" t="n"/>
      <c r="E70" s="10">
        <f>IF($B70="","",SUMIFS(Sessions!$I:$I,Sessions!$B:$B,$B70,Sessions!$A:$A,"&gt;="&amp;SemesterStart,Sessions!$A:$A,"&lt;="&amp;SemesterEnd))</f>
        <v/>
      </c>
      <c r="F70" s="10">
        <f>IF($B70="","",SUMIFS(Sessions!$F:$F,Sessions!$B:$B,$B70,Sessions!$G:$G,"Waiting",Sessions!$A:$A,"&gt;="&amp;SemesterStart,Sessions!$A:$A,"&lt;="&amp;SemesterEnd))</f>
        <v/>
      </c>
      <c r="G70" s="16">
        <f>IF($B70="","",MIN(1,E70/RequiredHours))</f>
        <v/>
      </c>
      <c r="H70" s="9">
        <f>IF($B70="","",IF(E70&gt;=RequiredHours,"Done","In progress"))</f>
        <v/>
      </c>
      <c r="I70" s="10">
        <f>IF($B70="","",MAX(0,RequiredHours-E70))</f>
        <v/>
      </c>
    </row>
    <row r="71">
      <c r="A71" s="9" t="n"/>
      <c r="B71" s="9" t="n"/>
      <c r="C71" s="9" t="n"/>
      <c r="D71" s="15" t="n"/>
      <c r="E71" s="10">
        <f>IF($B71="","",SUMIFS(Sessions!$I:$I,Sessions!$B:$B,$B71,Sessions!$A:$A,"&gt;="&amp;SemesterStart,Sessions!$A:$A,"&lt;="&amp;SemesterEnd))</f>
        <v/>
      </c>
      <c r="F71" s="10">
        <f>IF($B71="","",SUMIFS(Sessions!$F:$F,Sessions!$B:$B,$B71,Sessions!$G:$G,"Waiting",Sessions!$A:$A,"&gt;="&amp;SemesterStart,Sessions!$A:$A,"&lt;="&amp;SemesterEnd))</f>
        <v/>
      </c>
      <c r="G71" s="16">
        <f>IF($B71="","",MIN(1,E71/RequiredHours))</f>
        <v/>
      </c>
      <c r="H71" s="9">
        <f>IF($B71="","",IF(E71&gt;=RequiredHours,"Done","In progress"))</f>
        <v/>
      </c>
      <c r="I71" s="10">
        <f>IF($B71="","",MAX(0,RequiredHours-E71))</f>
        <v/>
      </c>
    </row>
    <row r="72">
      <c r="A72" s="9" t="n"/>
      <c r="B72" s="9" t="n"/>
      <c r="C72" s="9" t="n"/>
      <c r="D72" s="15" t="n"/>
      <c r="E72" s="10">
        <f>IF($B72="","",SUMIFS(Sessions!$I:$I,Sessions!$B:$B,$B72,Sessions!$A:$A,"&gt;="&amp;SemesterStart,Sessions!$A:$A,"&lt;="&amp;SemesterEnd))</f>
        <v/>
      </c>
      <c r="F72" s="10">
        <f>IF($B72="","",SUMIFS(Sessions!$F:$F,Sessions!$B:$B,$B72,Sessions!$G:$G,"Waiting",Sessions!$A:$A,"&gt;="&amp;SemesterStart,Sessions!$A:$A,"&lt;="&amp;SemesterEnd))</f>
        <v/>
      </c>
      <c r="G72" s="16">
        <f>IF($B72="","",MIN(1,E72/RequiredHours))</f>
        <v/>
      </c>
      <c r="H72" s="9">
        <f>IF($B72="","",IF(E72&gt;=RequiredHours,"Done","In progress"))</f>
        <v/>
      </c>
      <c r="I72" s="10">
        <f>IF($B72="","",MAX(0,RequiredHours-E72))</f>
        <v/>
      </c>
    </row>
    <row r="73">
      <c r="A73" s="9" t="n"/>
      <c r="B73" s="9" t="n"/>
      <c r="C73" s="9" t="n"/>
      <c r="D73" s="15" t="n"/>
      <c r="E73" s="10">
        <f>IF($B73="","",SUMIFS(Sessions!$I:$I,Sessions!$B:$B,$B73,Sessions!$A:$A,"&gt;="&amp;SemesterStart,Sessions!$A:$A,"&lt;="&amp;SemesterEnd))</f>
        <v/>
      </c>
      <c r="F73" s="10">
        <f>IF($B73="","",SUMIFS(Sessions!$F:$F,Sessions!$B:$B,$B73,Sessions!$G:$G,"Waiting",Sessions!$A:$A,"&gt;="&amp;SemesterStart,Sessions!$A:$A,"&lt;="&amp;SemesterEnd))</f>
        <v/>
      </c>
      <c r="G73" s="16">
        <f>IF($B73="","",MIN(1,E73/RequiredHours))</f>
        <v/>
      </c>
      <c r="H73" s="9">
        <f>IF($B73="","",IF(E73&gt;=RequiredHours,"Done","In progress"))</f>
        <v/>
      </c>
      <c r="I73" s="10">
        <f>IF($B73="","",MAX(0,RequiredHours-E73))</f>
        <v/>
      </c>
    </row>
    <row r="74">
      <c r="A74" s="9" t="n"/>
      <c r="B74" s="9" t="n"/>
      <c r="C74" s="9" t="n"/>
      <c r="D74" s="15" t="n"/>
      <c r="E74" s="10">
        <f>IF($B74="","",SUMIFS(Sessions!$I:$I,Sessions!$B:$B,$B74,Sessions!$A:$A,"&gt;="&amp;SemesterStart,Sessions!$A:$A,"&lt;="&amp;SemesterEnd))</f>
        <v/>
      </c>
      <c r="F74" s="10">
        <f>IF($B74="","",SUMIFS(Sessions!$F:$F,Sessions!$B:$B,$B74,Sessions!$G:$G,"Waiting",Sessions!$A:$A,"&gt;="&amp;SemesterStart,Sessions!$A:$A,"&lt;="&amp;SemesterEnd))</f>
        <v/>
      </c>
      <c r="G74" s="16">
        <f>IF($B74="","",MIN(1,E74/RequiredHours))</f>
        <v/>
      </c>
      <c r="H74" s="9">
        <f>IF($B74="","",IF(E74&gt;=RequiredHours,"Done","In progress"))</f>
        <v/>
      </c>
      <c r="I74" s="10">
        <f>IF($B74="","",MAX(0,RequiredHours-E74))</f>
        <v/>
      </c>
    </row>
    <row r="75">
      <c r="A75" s="9" t="n"/>
      <c r="B75" s="9" t="n"/>
      <c r="C75" s="9" t="n"/>
      <c r="D75" s="15" t="n"/>
      <c r="E75" s="10">
        <f>IF($B75="","",SUMIFS(Sessions!$I:$I,Sessions!$B:$B,$B75,Sessions!$A:$A,"&gt;="&amp;SemesterStart,Sessions!$A:$A,"&lt;="&amp;SemesterEnd))</f>
        <v/>
      </c>
      <c r="F75" s="10">
        <f>IF($B75="","",SUMIFS(Sessions!$F:$F,Sessions!$B:$B,$B75,Sessions!$G:$G,"Waiting",Sessions!$A:$A,"&gt;="&amp;SemesterStart,Sessions!$A:$A,"&lt;="&amp;SemesterEnd))</f>
        <v/>
      </c>
      <c r="G75" s="16">
        <f>IF($B75="","",MIN(1,E75/RequiredHours))</f>
        <v/>
      </c>
      <c r="H75" s="9">
        <f>IF($B75="","",IF(E75&gt;=RequiredHours,"Done","In progress"))</f>
        <v/>
      </c>
      <c r="I75" s="10">
        <f>IF($B75="","",MAX(0,RequiredHours-E75))</f>
        <v/>
      </c>
    </row>
    <row r="76">
      <c r="A76" s="9" t="n"/>
      <c r="B76" s="9" t="n"/>
      <c r="C76" s="9" t="n"/>
      <c r="D76" s="15" t="n"/>
      <c r="E76" s="10">
        <f>IF($B76="","",SUMIFS(Sessions!$I:$I,Sessions!$B:$B,$B76,Sessions!$A:$A,"&gt;="&amp;SemesterStart,Sessions!$A:$A,"&lt;="&amp;SemesterEnd))</f>
        <v/>
      </c>
      <c r="F76" s="10">
        <f>IF($B76="","",SUMIFS(Sessions!$F:$F,Sessions!$B:$B,$B76,Sessions!$G:$G,"Waiting",Sessions!$A:$A,"&gt;="&amp;SemesterStart,Sessions!$A:$A,"&lt;="&amp;SemesterEnd))</f>
        <v/>
      </c>
      <c r="G76" s="16">
        <f>IF($B76="","",MIN(1,E76/RequiredHours))</f>
        <v/>
      </c>
      <c r="H76" s="9">
        <f>IF($B76="","",IF(E76&gt;=RequiredHours,"Done","In progress"))</f>
        <v/>
      </c>
      <c r="I76" s="10">
        <f>IF($B76="","",MAX(0,RequiredHours-E76))</f>
        <v/>
      </c>
    </row>
    <row r="77">
      <c r="A77" s="9" t="n"/>
      <c r="B77" s="9" t="n"/>
      <c r="C77" s="9" t="n"/>
      <c r="D77" s="15" t="n"/>
      <c r="E77" s="10">
        <f>IF($B77="","",SUMIFS(Sessions!$I:$I,Sessions!$B:$B,$B77,Sessions!$A:$A,"&gt;="&amp;SemesterStart,Sessions!$A:$A,"&lt;="&amp;SemesterEnd))</f>
        <v/>
      </c>
      <c r="F77" s="10">
        <f>IF($B77="","",SUMIFS(Sessions!$F:$F,Sessions!$B:$B,$B77,Sessions!$G:$G,"Waiting",Sessions!$A:$A,"&gt;="&amp;SemesterStart,Sessions!$A:$A,"&lt;="&amp;SemesterEnd))</f>
        <v/>
      </c>
      <c r="G77" s="16">
        <f>IF($B77="","",MIN(1,E77/RequiredHours))</f>
        <v/>
      </c>
      <c r="H77" s="9">
        <f>IF($B77="","",IF(E77&gt;=RequiredHours,"Done","In progress"))</f>
        <v/>
      </c>
      <c r="I77" s="10">
        <f>IF($B77="","",MAX(0,RequiredHours-E77))</f>
        <v/>
      </c>
    </row>
    <row r="78">
      <c r="A78" s="9" t="n"/>
      <c r="B78" s="9" t="n"/>
      <c r="C78" s="9" t="n"/>
      <c r="D78" s="15" t="n"/>
      <c r="E78" s="10">
        <f>IF($B78="","",SUMIFS(Sessions!$I:$I,Sessions!$B:$B,$B78,Sessions!$A:$A,"&gt;="&amp;SemesterStart,Sessions!$A:$A,"&lt;="&amp;SemesterEnd))</f>
        <v/>
      </c>
      <c r="F78" s="10">
        <f>IF($B78="","",SUMIFS(Sessions!$F:$F,Sessions!$B:$B,$B78,Sessions!$G:$G,"Waiting",Sessions!$A:$A,"&gt;="&amp;SemesterStart,Sessions!$A:$A,"&lt;="&amp;SemesterEnd))</f>
        <v/>
      </c>
      <c r="G78" s="16">
        <f>IF($B78="","",MIN(1,E78/RequiredHours))</f>
        <v/>
      </c>
      <c r="H78" s="9">
        <f>IF($B78="","",IF(E78&gt;=RequiredHours,"Done","In progress"))</f>
        <v/>
      </c>
      <c r="I78" s="10">
        <f>IF($B78="","",MAX(0,RequiredHours-E78))</f>
        <v/>
      </c>
    </row>
    <row r="79">
      <c r="A79" s="9" t="n"/>
      <c r="B79" s="9" t="n"/>
      <c r="C79" s="9" t="n"/>
      <c r="D79" s="15" t="n"/>
      <c r="E79" s="10">
        <f>IF($B79="","",SUMIFS(Sessions!$I:$I,Sessions!$B:$B,$B79,Sessions!$A:$A,"&gt;="&amp;SemesterStart,Sessions!$A:$A,"&lt;="&amp;SemesterEnd))</f>
        <v/>
      </c>
      <c r="F79" s="10">
        <f>IF($B79="","",SUMIFS(Sessions!$F:$F,Sessions!$B:$B,$B79,Sessions!$G:$G,"Waiting",Sessions!$A:$A,"&gt;="&amp;SemesterStart,Sessions!$A:$A,"&lt;="&amp;SemesterEnd))</f>
        <v/>
      </c>
      <c r="G79" s="16">
        <f>IF($B79="","",MIN(1,E79/RequiredHours))</f>
        <v/>
      </c>
      <c r="H79" s="9">
        <f>IF($B79="","",IF(E79&gt;=RequiredHours,"Done","In progress"))</f>
        <v/>
      </c>
      <c r="I79" s="10">
        <f>IF($B79="","",MAX(0,RequiredHours-E79))</f>
        <v/>
      </c>
    </row>
    <row r="80">
      <c r="A80" s="9" t="n"/>
      <c r="B80" s="9" t="n"/>
      <c r="C80" s="9" t="n"/>
      <c r="D80" s="15" t="n"/>
      <c r="E80" s="10">
        <f>IF($B80="","",SUMIFS(Sessions!$I:$I,Sessions!$B:$B,$B80,Sessions!$A:$A,"&gt;="&amp;SemesterStart,Sessions!$A:$A,"&lt;="&amp;SemesterEnd))</f>
        <v/>
      </c>
      <c r="F80" s="10">
        <f>IF($B80="","",SUMIFS(Sessions!$F:$F,Sessions!$B:$B,$B80,Sessions!$G:$G,"Waiting",Sessions!$A:$A,"&gt;="&amp;SemesterStart,Sessions!$A:$A,"&lt;="&amp;SemesterEnd))</f>
        <v/>
      </c>
      <c r="G80" s="16">
        <f>IF($B80="","",MIN(1,E80/RequiredHours))</f>
        <v/>
      </c>
      <c r="H80" s="9">
        <f>IF($B80="","",IF(E80&gt;=RequiredHours,"Done","In progress"))</f>
        <v/>
      </c>
      <c r="I80" s="10">
        <f>IF($B80="","",MAX(0,RequiredHours-E80))</f>
        <v/>
      </c>
    </row>
    <row r="81">
      <c r="A81" s="9" t="n"/>
      <c r="B81" s="9" t="n"/>
      <c r="C81" s="9" t="n"/>
      <c r="D81" s="15" t="n"/>
      <c r="E81" s="10">
        <f>IF($B81="","",SUMIFS(Sessions!$I:$I,Sessions!$B:$B,$B81,Sessions!$A:$A,"&gt;="&amp;SemesterStart,Sessions!$A:$A,"&lt;="&amp;SemesterEnd))</f>
        <v/>
      </c>
      <c r="F81" s="10">
        <f>IF($B81="","",SUMIFS(Sessions!$F:$F,Sessions!$B:$B,$B81,Sessions!$G:$G,"Waiting",Sessions!$A:$A,"&gt;="&amp;SemesterStart,Sessions!$A:$A,"&lt;="&amp;SemesterEnd))</f>
        <v/>
      </c>
      <c r="G81" s="16">
        <f>IF($B81="","",MIN(1,E81/RequiredHours))</f>
        <v/>
      </c>
      <c r="H81" s="9">
        <f>IF($B81="","",IF(E81&gt;=RequiredHours,"Done","In progress"))</f>
        <v/>
      </c>
      <c r="I81" s="10">
        <f>IF($B81="","",MAX(0,RequiredHours-E81))</f>
        <v/>
      </c>
    </row>
    <row r="82">
      <c r="A82" s="9" t="n"/>
      <c r="B82" s="9" t="n"/>
      <c r="C82" s="9" t="n"/>
      <c r="D82" s="15" t="n"/>
      <c r="E82" s="10">
        <f>IF($B82="","",SUMIFS(Sessions!$I:$I,Sessions!$B:$B,$B82,Sessions!$A:$A,"&gt;="&amp;SemesterStart,Sessions!$A:$A,"&lt;="&amp;SemesterEnd))</f>
        <v/>
      </c>
      <c r="F82" s="10">
        <f>IF($B82="","",SUMIFS(Sessions!$F:$F,Sessions!$B:$B,$B82,Sessions!$G:$G,"Waiting",Sessions!$A:$A,"&gt;="&amp;SemesterStart,Sessions!$A:$A,"&lt;="&amp;SemesterEnd))</f>
        <v/>
      </c>
      <c r="G82" s="16">
        <f>IF($B82="","",MIN(1,E82/RequiredHours))</f>
        <v/>
      </c>
      <c r="H82" s="9">
        <f>IF($B82="","",IF(E82&gt;=RequiredHours,"Done","In progress"))</f>
        <v/>
      </c>
      <c r="I82" s="10">
        <f>IF($B82="","",MAX(0,RequiredHours-E82))</f>
        <v/>
      </c>
    </row>
    <row r="83">
      <c r="A83" s="9" t="n"/>
      <c r="B83" s="9" t="n"/>
      <c r="C83" s="9" t="n"/>
      <c r="D83" s="15" t="n"/>
      <c r="E83" s="10">
        <f>IF($B83="","",SUMIFS(Sessions!$I:$I,Sessions!$B:$B,$B83,Sessions!$A:$A,"&gt;="&amp;SemesterStart,Sessions!$A:$A,"&lt;="&amp;SemesterEnd))</f>
        <v/>
      </c>
      <c r="F83" s="10">
        <f>IF($B83="","",SUMIFS(Sessions!$F:$F,Sessions!$B:$B,$B83,Sessions!$G:$G,"Waiting",Sessions!$A:$A,"&gt;="&amp;SemesterStart,Sessions!$A:$A,"&lt;="&amp;SemesterEnd))</f>
        <v/>
      </c>
      <c r="G83" s="16">
        <f>IF($B83="","",MIN(1,E83/RequiredHours))</f>
        <v/>
      </c>
      <c r="H83" s="9">
        <f>IF($B83="","",IF(E83&gt;=RequiredHours,"Done","In progress"))</f>
        <v/>
      </c>
      <c r="I83" s="10">
        <f>IF($B83="","",MAX(0,RequiredHours-E83))</f>
        <v/>
      </c>
    </row>
    <row r="84">
      <c r="A84" s="9" t="n"/>
      <c r="B84" s="9" t="n"/>
      <c r="C84" s="9" t="n"/>
      <c r="D84" s="15" t="n"/>
      <c r="E84" s="10">
        <f>IF($B84="","",SUMIFS(Sessions!$I:$I,Sessions!$B:$B,$B84,Sessions!$A:$A,"&gt;="&amp;SemesterStart,Sessions!$A:$A,"&lt;="&amp;SemesterEnd))</f>
        <v/>
      </c>
      <c r="F84" s="10">
        <f>IF($B84="","",SUMIFS(Sessions!$F:$F,Sessions!$B:$B,$B84,Sessions!$G:$G,"Waiting",Sessions!$A:$A,"&gt;="&amp;SemesterStart,Sessions!$A:$A,"&lt;="&amp;SemesterEnd))</f>
        <v/>
      </c>
      <c r="G84" s="16">
        <f>IF($B84="","",MIN(1,E84/RequiredHours))</f>
        <v/>
      </c>
      <c r="H84" s="9">
        <f>IF($B84="","",IF(E84&gt;=RequiredHours,"Done","In progress"))</f>
        <v/>
      </c>
      <c r="I84" s="10">
        <f>IF($B84="","",MAX(0,RequiredHours-E84))</f>
        <v/>
      </c>
    </row>
    <row r="85">
      <c r="A85" s="9" t="n"/>
      <c r="B85" s="9" t="n"/>
      <c r="C85" s="9" t="n"/>
      <c r="D85" s="15" t="n"/>
      <c r="E85" s="10">
        <f>IF($B85="","",SUMIFS(Sessions!$I:$I,Sessions!$B:$B,$B85,Sessions!$A:$A,"&gt;="&amp;SemesterStart,Sessions!$A:$A,"&lt;="&amp;SemesterEnd))</f>
        <v/>
      </c>
      <c r="F85" s="10">
        <f>IF($B85="","",SUMIFS(Sessions!$F:$F,Sessions!$B:$B,$B85,Sessions!$G:$G,"Waiting",Sessions!$A:$A,"&gt;="&amp;SemesterStart,Sessions!$A:$A,"&lt;="&amp;SemesterEnd))</f>
        <v/>
      </c>
      <c r="G85" s="16">
        <f>IF($B85="","",MIN(1,E85/RequiredHours))</f>
        <v/>
      </c>
      <c r="H85" s="9">
        <f>IF($B85="","",IF(E85&gt;=RequiredHours,"Done","In progress"))</f>
        <v/>
      </c>
      <c r="I85" s="10">
        <f>IF($B85="","",MAX(0,RequiredHours-E85))</f>
        <v/>
      </c>
    </row>
    <row r="86">
      <c r="A86" s="9" t="n"/>
      <c r="B86" s="9" t="n"/>
      <c r="C86" s="9" t="n"/>
      <c r="D86" s="15" t="n"/>
      <c r="E86" s="10">
        <f>IF($B86="","",SUMIFS(Sessions!$I:$I,Sessions!$B:$B,$B86,Sessions!$A:$A,"&gt;="&amp;SemesterStart,Sessions!$A:$A,"&lt;="&amp;SemesterEnd))</f>
        <v/>
      </c>
      <c r="F86" s="10">
        <f>IF($B86="","",SUMIFS(Sessions!$F:$F,Sessions!$B:$B,$B86,Sessions!$G:$G,"Waiting",Sessions!$A:$A,"&gt;="&amp;SemesterStart,Sessions!$A:$A,"&lt;="&amp;SemesterEnd))</f>
        <v/>
      </c>
      <c r="G86" s="16">
        <f>IF($B86="","",MIN(1,E86/RequiredHours))</f>
        <v/>
      </c>
      <c r="H86" s="9">
        <f>IF($B86="","",IF(E86&gt;=RequiredHours,"Done","In progress"))</f>
        <v/>
      </c>
      <c r="I86" s="10">
        <f>IF($B86="","",MAX(0,RequiredHours-E86))</f>
        <v/>
      </c>
    </row>
    <row r="87">
      <c r="A87" s="9" t="n"/>
      <c r="B87" s="9" t="n"/>
      <c r="C87" s="9" t="n"/>
      <c r="D87" s="15" t="n"/>
      <c r="E87" s="10">
        <f>IF($B87="","",SUMIFS(Sessions!$I:$I,Sessions!$B:$B,$B87,Sessions!$A:$A,"&gt;="&amp;SemesterStart,Sessions!$A:$A,"&lt;="&amp;SemesterEnd))</f>
        <v/>
      </c>
      <c r="F87" s="10">
        <f>IF($B87="","",SUMIFS(Sessions!$F:$F,Sessions!$B:$B,$B87,Sessions!$G:$G,"Waiting",Sessions!$A:$A,"&gt;="&amp;SemesterStart,Sessions!$A:$A,"&lt;="&amp;SemesterEnd))</f>
        <v/>
      </c>
      <c r="G87" s="16">
        <f>IF($B87="","",MIN(1,E87/RequiredHours))</f>
        <v/>
      </c>
      <c r="H87" s="9">
        <f>IF($B87="","",IF(E87&gt;=RequiredHours,"Done","In progress"))</f>
        <v/>
      </c>
      <c r="I87" s="10">
        <f>IF($B87="","",MAX(0,RequiredHours-E87))</f>
        <v/>
      </c>
    </row>
    <row r="88">
      <c r="A88" s="9" t="n"/>
      <c r="B88" s="9" t="n"/>
      <c r="C88" s="9" t="n"/>
      <c r="D88" s="15" t="n"/>
      <c r="E88" s="10">
        <f>IF($B88="","",SUMIFS(Sessions!$I:$I,Sessions!$B:$B,$B88,Sessions!$A:$A,"&gt;="&amp;SemesterStart,Sessions!$A:$A,"&lt;="&amp;SemesterEnd))</f>
        <v/>
      </c>
      <c r="F88" s="10">
        <f>IF($B88="","",SUMIFS(Sessions!$F:$F,Sessions!$B:$B,$B88,Sessions!$G:$G,"Waiting",Sessions!$A:$A,"&gt;="&amp;SemesterStart,Sessions!$A:$A,"&lt;="&amp;SemesterEnd))</f>
        <v/>
      </c>
      <c r="G88" s="16">
        <f>IF($B88="","",MIN(1,E88/RequiredHours))</f>
        <v/>
      </c>
      <c r="H88" s="9">
        <f>IF($B88="","",IF(E88&gt;=RequiredHours,"Done","In progress"))</f>
        <v/>
      </c>
      <c r="I88" s="10">
        <f>IF($B88="","",MAX(0,RequiredHours-E88))</f>
        <v/>
      </c>
    </row>
    <row r="89">
      <c r="A89" s="9" t="n"/>
      <c r="B89" s="9" t="n"/>
      <c r="C89" s="9" t="n"/>
      <c r="D89" s="15" t="n"/>
      <c r="E89" s="10">
        <f>IF($B89="","",SUMIFS(Sessions!$I:$I,Sessions!$B:$B,$B89,Sessions!$A:$A,"&gt;="&amp;SemesterStart,Sessions!$A:$A,"&lt;="&amp;SemesterEnd))</f>
        <v/>
      </c>
      <c r="F89" s="10">
        <f>IF($B89="","",SUMIFS(Sessions!$F:$F,Sessions!$B:$B,$B89,Sessions!$G:$G,"Waiting",Sessions!$A:$A,"&gt;="&amp;SemesterStart,Sessions!$A:$A,"&lt;="&amp;SemesterEnd))</f>
        <v/>
      </c>
      <c r="G89" s="16">
        <f>IF($B89="","",MIN(1,E89/RequiredHours))</f>
        <v/>
      </c>
      <c r="H89" s="9">
        <f>IF($B89="","",IF(E89&gt;=RequiredHours,"Done","In progress"))</f>
        <v/>
      </c>
      <c r="I89" s="10">
        <f>IF($B89="","",MAX(0,RequiredHours-E89))</f>
        <v/>
      </c>
    </row>
    <row r="90">
      <c r="A90" s="9" t="n"/>
      <c r="B90" s="9" t="n"/>
      <c r="C90" s="9" t="n"/>
      <c r="D90" s="15" t="n"/>
      <c r="E90" s="10">
        <f>IF($B90="","",SUMIFS(Sessions!$I:$I,Sessions!$B:$B,$B90,Sessions!$A:$A,"&gt;="&amp;SemesterStart,Sessions!$A:$A,"&lt;="&amp;SemesterEnd))</f>
        <v/>
      </c>
      <c r="F90" s="10">
        <f>IF($B90="","",SUMIFS(Sessions!$F:$F,Sessions!$B:$B,$B90,Sessions!$G:$G,"Waiting",Sessions!$A:$A,"&gt;="&amp;SemesterStart,Sessions!$A:$A,"&lt;="&amp;SemesterEnd))</f>
        <v/>
      </c>
      <c r="G90" s="16">
        <f>IF($B90="","",MIN(1,E90/RequiredHours))</f>
        <v/>
      </c>
      <c r="H90" s="9">
        <f>IF($B90="","",IF(E90&gt;=RequiredHours,"Done","In progress"))</f>
        <v/>
      </c>
      <c r="I90" s="10">
        <f>IF($B90="","",MAX(0,RequiredHours-E90))</f>
        <v/>
      </c>
    </row>
    <row r="91">
      <c r="A91" s="9" t="n"/>
      <c r="B91" s="9" t="n"/>
      <c r="C91" s="9" t="n"/>
      <c r="D91" s="15" t="n"/>
      <c r="E91" s="10">
        <f>IF($B91="","",SUMIFS(Sessions!$I:$I,Sessions!$B:$B,$B91,Sessions!$A:$A,"&gt;="&amp;SemesterStart,Sessions!$A:$A,"&lt;="&amp;SemesterEnd))</f>
        <v/>
      </c>
      <c r="F91" s="10">
        <f>IF($B91="","",SUMIFS(Sessions!$F:$F,Sessions!$B:$B,$B91,Sessions!$G:$G,"Waiting",Sessions!$A:$A,"&gt;="&amp;SemesterStart,Sessions!$A:$A,"&lt;="&amp;SemesterEnd))</f>
        <v/>
      </c>
      <c r="G91" s="16">
        <f>IF($B91="","",MIN(1,E91/RequiredHours))</f>
        <v/>
      </c>
      <c r="H91" s="9">
        <f>IF($B91="","",IF(E91&gt;=RequiredHours,"Done","In progress"))</f>
        <v/>
      </c>
      <c r="I91" s="10">
        <f>IF($B91="","",MAX(0,RequiredHours-E91))</f>
        <v/>
      </c>
    </row>
    <row r="92">
      <c r="A92" s="9" t="n"/>
      <c r="B92" s="9" t="n"/>
      <c r="C92" s="9" t="n"/>
      <c r="D92" s="15" t="n"/>
      <c r="E92" s="10">
        <f>IF($B92="","",SUMIFS(Sessions!$I:$I,Sessions!$B:$B,$B92,Sessions!$A:$A,"&gt;="&amp;SemesterStart,Sessions!$A:$A,"&lt;="&amp;SemesterEnd))</f>
        <v/>
      </c>
      <c r="F92" s="10">
        <f>IF($B92="","",SUMIFS(Sessions!$F:$F,Sessions!$B:$B,$B92,Sessions!$G:$G,"Waiting",Sessions!$A:$A,"&gt;="&amp;SemesterStart,Sessions!$A:$A,"&lt;="&amp;SemesterEnd))</f>
        <v/>
      </c>
      <c r="G92" s="16">
        <f>IF($B92="","",MIN(1,E92/RequiredHours))</f>
        <v/>
      </c>
      <c r="H92" s="9">
        <f>IF($B92="","",IF(E92&gt;=RequiredHours,"Done","In progress"))</f>
        <v/>
      </c>
      <c r="I92" s="10">
        <f>IF($B92="","",MAX(0,RequiredHours-E92))</f>
        <v/>
      </c>
    </row>
    <row r="93">
      <c r="A93" s="9" t="n"/>
      <c r="B93" s="9" t="n"/>
      <c r="C93" s="9" t="n"/>
      <c r="D93" s="15" t="n"/>
      <c r="E93" s="10">
        <f>IF($B93="","",SUMIFS(Sessions!$I:$I,Sessions!$B:$B,$B93,Sessions!$A:$A,"&gt;="&amp;SemesterStart,Sessions!$A:$A,"&lt;="&amp;SemesterEnd))</f>
        <v/>
      </c>
      <c r="F93" s="10">
        <f>IF($B93="","",SUMIFS(Sessions!$F:$F,Sessions!$B:$B,$B93,Sessions!$G:$G,"Waiting",Sessions!$A:$A,"&gt;="&amp;SemesterStart,Sessions!$A:$A,"&lt;="&amp;SemesterEnd))</f>
        <v/>
      </c>
      <c r="G93" s="16">
        <f>IF($B93="","",MIN(1,E93/RequiredHours))</f>
        <v/>
      </c>
      <c r="H93" s="9">
        <f>IF($B93="","",IF(E93&gt;=RequiredHours,"Done","In progress"))</f>
        <v/>
      </c>
      <c r="I93" s="10">
        <f>IF($B93="","",MAX(0,RequiredHours-E93))</f>
        <v/>
      </c>
    </row>
    <row r="94">
      <c r="A94" s="9" t="n"/>
      <c r="B94" s="9" t="n"/>
      <c r="C94" s="9" t="n"/>
      <c r="D94" s="15" t="n"/>
      <c r="E94" s="10">
        <f>IF($B94="","",SUMIFS(Sessions!$I:$I,Sessions!$B:$B,$B94,Sessions!$A:$A,"&gt;="&amp;SemesterStart,Sessions!$A:$A,"&lt;="&amp;SemesterEnd))</f>
        <v/>
      </c>
      <c r="F94" s="10">
        <f>IF($B94="","",SUMIFS(Sessions!$F:$F,Sessions!$B:$B,$B94,Sessions!$G:$G,"Waiting",Sessions!$A:$A,"&gt;="&amp;SemesterStart,Sessions!$A:$A,"&lt;="&amp;SemesterEnd))</f>
        <v/>
      </c>
      <c r="G94" s="16">
        <f>IF($B94="","",MIN(1,E94/RequiredHours))</f>
        <v/>
      </c>
      <c r="H94" s="9">
        <f>IF($B94="","",IF(E94&gt;=RequiredHours,"Done","In progress"))</f>
        <v/>
      </c>
      <c r="I94" s="10">
        <f>IF($B94="","",MAX(0,RequiredHours-E94))</f>
        <v/>
      </c>
    </row>
    <row r="95">
      <c r="A95" s="9" t="n"/>
      <c r="B95" s="9" t="n"/>
      <c r="C95" s="9" t="n"/>
      <c r="D95" s="15" t="n"/>
      <c r="E95" s="10">
        <f>IF($B95="","",SUMIFS(Sessions!$I:$I,Sessions!$B:$B,$B95,Sessions!$A:$A,"&gt;="&amp;SemesterStart,Sessions!$A:$A,"&lt;="&amp;SemesterEnd))</f>
        <v/>
      </c>
      <c r="F95" s="10">
        <f>IF($B95="","",SUMIFS(Sessions!$F:$F,Sessions!$B:$B,$B95,Sessions!$G:$G,"Waiting",Sessions!$A:$A,"&gt;="&amp;SemesterStart,Sessions!$A:$A,"&lt;="&amp;SemesterEnd))</f>
        <v/>
      </c>
      <c r="G95" s="16">
        <f>IF($B95="","",MIN(1,E95/RequiredHours))</f>
        <v/>
      </c>
      <c r="H95" s="9">
        <f>IF($B95="","",IF(E95&gt;=RequiredHours,"Done","In progress"))</f>
        <v/>
      </c>
      <c r="I95" s="10">
        <f>IF($B95="","",MAX(0,RequiredHours-E95))</f>
        <v/>
      </c>
    </row>
    <row r="96">
      <c r="A96" s="9" t="n"/>
      <c r="B96" s="9" t="n"/>
      <c r="C96" s="9" t="n"/>
      <c r="D96" s="15" t="n"/>
      <c r="E96" s="10">
        <f>IF($B96="","",SUMIFS(Sessions!$I:$I,Sessions!$B:$B,$B96,Sessions!$A:$A,"&gt;="&amp;SemesterStart,Sessions!$A:$A,"&lt;="&amp;SemesterEnd))</f>
        <v/>
      </c>
      <c r="F96" s="10">
        <f>IF($B96="","",SUMIFS(Sessions!$F:$F,Sessions!$B:$B,$B96,Sessions!$G:$G,"Waiting",Sessions!$A:$A,"&gt;="&amp;SemesterStart,Sessions!$A:$A,"&lt;="&amp;SemesterEnd))</f>
        <v/>
      </c>
      <c r="G96" s="16">
        <f>IF($B96="","",MIN(1,E96/RequiredHours))</f>
        <v/>
      </c>
      <c r="H96" s="9">
        <f>IF($B96="","",IF(E96&gt;=RequiredHours,"Done","In progress"))</f>
        <v/>
      </c>
      <c r="I96" s="10">
        <f>IF($B96="","",MAX(0,RequiredHours-E96))</f>
        <v/>
      </c>
    </row>
    <row r="97">
      <c r="A97" s="9" t="n"/>
      <c r="B97" s="9" t="n"/>
      <c r="C97" s="9" t="n"/>
      <c r="D97" s="15" t="n"/>
      <c r="E97" s="10">
        <f>IF($B97="","",SUMIFS(Sessions!$I:$I,Sessions!$B:$B,$B97,Sessions!$A:$A,"&gt;="&amp;SemesterStart,Sessions!$A:$A,"&lt;="&amp;SemesterEnd))</f>
        <v/>
      </c>
      <c r="F97" s="10">
        <f>IF($B97="","",SUMIFS(Sessions!$F:$F,Sessions!$B:$B,$B97,Sessions!$G:$G,"Waiting",Sessions!$A:$A,"&gt;="&amp;SemesterStart,Sessions!$A:$A,"&lt;="&amp;SemesterEnd))</f>
        <v/>
      </c>
      <c r="G97" s="16">
        <f>IF($B97="","",MIN(1,E97/RequiredHours))</f>
        <v/>
      </c>
      <c r="H97" s="9">
        <f>IF($B97="","",IF(E97&gt;=RequiredHours,"Done","In progress"))</f>
        <v/>
      </c>
      <c r="I97" s="10">
        <f>IF($B97="","",MAX(0,RequiredHours-E97))</f>
        <v/>
      </c>
    </row>
    <row r="98">
      <c r="A98" s="9" t="n"/>
      <c r="B98" s="9" t="n"/>
      <c r="C98" s="9" t="n"/>
      <c r="D98" s="15" t="n"/>
      <c r="E98" s="10">
        <f>IF($B98="","",SUMIFS(Sessions!$I:$I,Sessions!$B:$B,$B98,Sessions!$A:$A,"&gt;="&amp;SemesterStart,Sessions!$A:$A,"&lt;="&amp;SemesterEnd))</f>
        <v/>
      </c>
      <c r="F98" s="10">
        <f>IF($B98="","",SUMIFS(Sessions!$F:$F,Sessions!$B:$B,$B98,Sessions!$G:$G,"Waiting",Sessions!$A:$A,"&gt;="&amp;SemesterStart,Sessions!$A:$A,"&lt;="&amp;SemesterEnd))</f>
        <v/>
      </c>
      <c r="G98" s="16">
        <f>IF($B98="","",MIN(1,E98/RequiredHours))</f>
        <v/>
      </c>
      <c r="H98" s="9">
        <f>IF($B98="","",IF(E98&gt;=RequiredHours,"Done","In progress"))</f>
        <v/>
      </c>
      <c r="I98" s="10">
        <f>IF($B98="","",MAX(0,RequiredHours-E98))</f>
        <v/>
      </c>
    </row>
    <row r="99">
      <c r="A99" s="9" t="n"/>
      <c r="B99" s="9" t="n"/>
      <c r="C99" s="9" t="n"/>
      <c r="D99" s="15" t="n"/>
      <c r="E99" s="10">
        <f>IF($B99="","",SUMIFS(Sessions!$I:$I,Sessions!$B:$B,$B99,Sessions!$A:$A,"&gt;="&amp;SemesterStart,Sessions!$A:$A,"&lt;="&amp;SemesterEnd))</f>
        <v/>
      </c>
      <c r="F99" s="10">
        <f>IF($B99="","",SUMIFS(Sessions!$F:$F,Sessions!$B:$B,$B99,Sessions!$G:$G,"Waiting",Sessions!$A:$A,"&gt;="&amp;SemesterStart,Sessions!$A:$A,"&lt;="&amp;SemesterEnd))</f>
        <v/>
      </c>
      <c r="G99" s="16">
        <f>IF($B99="","",MIN(1,E99/RequiredHours))</f>
        <v/>
      </c>
      <c r="H99" s="9">
        <f>IF($B99="","",IF(E99&gt;=RequiredHours,"Done","In progress"))</f>
        <v/>
      </c>
      <c r="I99" s="10">
        <f>IF($B99="","",MAX(0,RequiredHours-E99))</f>
        <v/>
      </c>
    </row>
    <row r="100">
      <c r="A100" s="9" t="n"/>
      <c r="B100" s="9" t="n"/>
      <c r="C100" s="9" t="n"/>
      <c r="D100" s="15" t="n"/>
      <c r="E100" s="10">
        <f>IF($B100="","",SUMIFS(Sessions!$I:$I,Sessions!$B:$B,$B100,Sessions!$A:$A,"&gt;="&amp;SemesterStart,Sessions!$A:$A,"&lt;="&amp;SemesterEnd))</f>
        <v/>
      </c>
      <c r="F100" s="10">
        <f>IF($B100="","",SUMIFS(Sessions!$F:$F,Sessions!$B:$B,$B100,Sessions!$G:$G,"Waiting",Sessions!$A:$A,"&gt;="&amp;SemesterStart,Sessions!$A:$A,"&lt;="&amp;SemesterEnd))</f>
        <v/>
      </c>
      <c r="G100" s="16">
        <f>IF($B100="","",MIN(1,E100/RequiredHours))</f>
        <v/>
      </c>
      <c r="H100" s="9">
        <f>IF($B100="","",IF(E100&gt;=RequiredHours,"Done","In progress"))</f>
        <v/>
      </c>
      <c r="I100" s="10">
        <f>IF($B100="","",MAX(0,RequiredHours-E100))</f>
        <v/>
      </c>
    </row>
    <row r="101">
      <c r="A101" s="9" t="n"/>
      <c r="B101" s="9" t="n"/>
      <c r="C101" s="9" t="n"/>
      <c r="D101" s="15" t="n"/>
      <c r="E101" s="10">
        <f>IF($B101="","",SUMIFS(Sessions!$I:$I,Sessions!$B:$B,$B101,Sessions!$A:$A,"&gt;="&amp;SemesterStart,Sessions!$A:$A,"&lt;="&amp;SemesterEnd))</f>
        <v/>
      </c>
      <c r="F101" s="10">
        <f>IF($B101="","",SUMIFS(Sessions!$F:$F,Sessions!$B:$B,$B101,Sessions!$G:$G,"Waiting",Sessions!$A:$A,"&gt;="&amp;SemesterStart,Sessions!$A:$A,"&lt;="&amp;SemesterEnd))</f>
        <v/>
      </c>
      <c r="G101" s="16">
        <f>IF($B101="","",MIN(1,E101/RequiredHours))</f>
        <v/>
      </c>
      <c r="H101" s="9">
        <f>IF($B101="","",IF(E101&gt;=RequiredHours,"Done","In progress"))</f>
        <v/>
      </c>
      <c r="I101" s="10">
        <f>IF($B101="","",MAX(0,RequiredHours-E101))</f>
        <v/>
      </c>
    </row>
    <row r="102">
      <c r="A102" s="9" t="n"/>
      <c r="B102" s="9" t="n"/>
      <c r="C102" s="9" t="n"/>
      <c r="D102" s="15" t="n"/>
      <c r="E102" s="10">
        <f>IF($B102="","",SUMIFS(Sessions!$I:$I,Sessions!$B:$B,$B102,Sessions!$A:$A,"&gt;="&amp;SemesterStart,Sessions!$A:$A,"&lt;="&amp;SemesterEnd))</f>
        <v/>
      </c>
      <c r="F102" s="10">
        <f>IF($B102="","",SUMIFS(Sessions!$F:$F,Sessions!$B:$B,$B102,Sessions!$G:$G,"Waiting",Sessions!$A:$A,"&gt;="&amp;SemesterStart,Sessions!$A:$A,"&lt;="&amp;SemesterEnd))</f>
        <v/>
      </c>
      <c r="G102" s="16">
        <f>IF($B102="","",MIN(1,E102/RequiredHours))</f>
        <v/>
      </c>
      <c r="H102" s="9">
        <f>IF($B102="","",IF(E102&gt;=RequiredHours,"Done","In progress"))</f>
        <v/>
      </c>
      <c r="I102" s="10">
        <f>IF($B102="","",MAX(0,RequiredHours-E102))</f>
        <v/>
      </c>
    </row>
    <row r="103">
      <c r="A103" s="9" t="n"/>
      <c r="B103" s="9" t="n"/>
      <c r="C103" s="9" t="n"/>
      <c r="D103" s="15" t="n"/>
      <c r="E103" s="10">
        <f>IF($B103="","",SUMIFS(Sessions!$I:$I,Sessions!$B:$B,$B103,Sessions!$A:$A,"&gt;="&amp;SemesterStart,Sessions!$A:$A,"&lt;="&amp;SemesterEnd))</f>
        <v/>
      </c>
      <c r="F103" s="10">
        <f>IF($B103="","",SUMIFS(Sessions!$F:$F,Sessions!$B:$B,$B103,Sessions!$G:$G,"Waiting",Sessions!$A:$A,"&gt;="&amp;SemesterStart,Sessions!$A:$A,"&lt;="&amp;SemesterEnd))</f>
        <v/>
      </c>
      <c r="G103" s="16">
        <f>IF($B103="","",MIN(1,E103/RequiredHours))</f>
        <v/>
      </c>
      <c r="H103" s="9">
        <f>IF($B103="","",IF(E103&gt;=RequiredHours,"Done","In progress"))</f>
        <v/>
      </c>
      <c r="I103" s="10">
        <f>IF($B103="","",MAX(0,RequiredHours-E103))</f>
        <v/>
      </c>
    </row>
    <row r="104">
      <c r="A104" s="9" t="n"/>
      <c r="B104" s="9" t="n"/>
      <c r="C104" s="9" t="n"/>
      <c r="D104" s="15" t="n"/>
      <c r="E104" s="10">
        <f>IF($B104="","",SUMIFS(Sessions!$I:$I,Sessions!$B:$B,$B104,Sessions!$A:$A,"&gt;="&amp;SemesterStart,Sessions!$A:$A,"&lt;="&amp;SemesterEnd))</f>
        <v/>
      </c>
      <c r="F104" s="10">
        <f>IF($B104="","",SUMIFS(Sessions!$F:$F,Sessions!$B:$B,$B104,Sessions!$G:$G,"Waiting",Sessions!$A:$A,"&gt;="&amp;SemesterStart,Sessions!$A:$A,"&lt;="&amp;SemesterEnd))</f>
        <v/>
      </c>
      <c r="G104" s="16">
        <f>IF($B104="","",MIN(1,E104/RequiredHours))</f>
        <v/>
      </c>
      <c r="H104" s="9">
        <f>IF($B104="","",IF(E104&gt;=RequiredHours,"Done","In progress"))</f>
        <v/>
      </c>
      <c r="I104" s="10">
        <f>IF($B104="","",MAX(0,RequiredHours-E104))</f>
        <v/>
      </c>
    </row>
    <row r="105">
      <c r="A105" s="9" t="n"/>
      <c r="B105" s="9" t="n"/>
      <c r="C105" s="9" t="n"/>
      <c r="D105" s="15" t="n"/>
      <c r="E105" s="10">
        <f>IF($B105="","",SUMIFS(Sessions!$I:$I,Sessions!$B:$B,$B105,Sessions!$A:$A,"&gt;="&amp;SemesterStart,Sessions!$A:$A,"&lt;="&amp;SemesterEnd))</f>
        <v/>
      </c>
      <c r="F105" s="10">
        <f>IF($B105="","",SUMIFS(Sessions!$F:$F,Sessions!$B:$B,$B105,Sessions!$G:$G,"Waiting",Sessions!$A:$A,"&gt;="&amp;SemesterStart,Sessions!$A:$A,"&lt;="&amp;SemesterEnd))</f>
        <v/>
      </c>
      <c r="G105" s="16">
        <f>IF($B105="","",MIN(1,E105/RequiredHours))</f>
        <v/>
      </c>
      <c r="H105" s="9">
        <f>IF($B105="","",IF(E105&gt;=RequiredHours,"Done","In progress"))</f>
        <v/>
      </c>
      <c r="I105" s="10">
        <f>IF($B105="","",MAX(0,RequiredHours-E105))</f>
        <v/>
      </c>
    </row>
    <row r="106">
      <c r="A106" s="9" t="n"/>
      <c r="B106" s="9" t="n"/>
      <c r="C106" s="9" t="n"/>
      <c r="D106" s="15" t="n"/>
      <c r="E106" s="10">
        <f>IF($B106="","",SUMIFS(Sessions!$I:$I,Sessions!$B:$B,$B106,Sessions!$A:$A,"&gt;="&amp;SemesterStart,Sessions!$A:$A,"&lt;="&amp;SemesterEnd))</f>
        <v/>
      </c>
      <c r="F106" s="10">
        <f>IF($B106="","",SUMIFS(Sessions!$F:$F,Sessions!$B:$B,$B106,Sessions!$G:$G,"Waiting",Sessions!$A:$A,"&gt;="&amp;SemesterStart,Sessions!$A:$A,"&lt;="&amp;SemesterEnd))</f>
        <v/>
      </c>
      <c r="G106" s="16">
        <f>IF($B106="","",MIN(1,E106/RequiredHours))</f>
        <v/>
      </c>
      <c r="H106" s="9">
        <f>IF($B106="","",IF(E106&gt;=RequiredHours,"Done","In progress"))</f>
        <v/>
      </c>
      <c r="I106" s="10">
        <f>IF($B106="","",MAX(0,RequiredHours-E106))</f>
        <v/>
      </c>
    </row>
    <row r="107">
      <c r="A107" s="9" t="n"/>
      <c r="B107" s="9" t="n"/>
      <c r="C107" s="9" t="n"/>
      <c r="D107" s="15" t="n"/>
      <c r="E107" s="10">
        <f>IF($B107="","",SUMIFS(Sessions!$I:$I,Sessions!$B:$B,$B107,Sessions!$A:$A,"&gt;="&amp;SemesterStart,Sessions!$A:$A,"&lt;="&amp;SemesterEnd))</f>
        <v/>
      </c>
      <c r="F107" s="10">
        <f>IF($B107="","",SUMIFS(Sessions!$F:$F,Sessions!$B:$B,$B107,Sessions!$G:$G,"Waiting",Sessions!$A:$A,"&gt;="&amp;SemesterStart,Sessions!$A:$A,"&lt;="&amp;SemesterEnd))</f>
        <v/>
      </c>
      <c r="G107" s="16">
        <f>IF($B107="","",MIN(1,E107/RequiredHours))</f>
        <v/>
      </c>
      <c r="H107" s="9">
        <f>IF($B107="","",IF(E107&gt;=RequiredHours,"Done","In progress"))</f>
        <v/>
      </c>
      <c r="I107" s="10">
        <f>IF($B107="","",MAX(0,RequiredHours-E107))</f>
        <v/>
      </c>
    </row>
    <row r="108">
      <c r="A108" s="9" t="n"/>
      <c r="B108" s="9" t="n"/>
      <c r="C108" s="9" t="n"/>
      <c r="D108" s="15" t="n"/>
      <c r="E108" s="10">
        <f>IF($B108="","",SUMIFS(Sessions!$I:$I,Sessions!$B:$B,$B108,Sessions!$A:$A,"&gt;="&amp;SemesterStart,Sessions!$A:$A,"&lt;="&amp;SemesterEnd))</f>
        <v/>
      </c>
      <c r="F108" s="10">
        <f>IF($B108="","",SUMIFS(Sessions!$F:$F,Sessions!$B:$B,$B108,Sessions!$G:$G,"Waiting",Sessions!$A:$A,"&gt;="&amp;SemesterStart,Sessions!$A:$A,"&lt;="&amp;SemesterEnd))</f>
        <v/>
      </c>
      <c r="G108" s="16">
        <f>IF($B108="","",MIN(1,E108/RequiredHours))</f>
        <v/>
      </c>
      <c r="H108" s="9">
        <f>IF($B108="","",IF(E108&gt;=RequiredHours,"Done","In progress"))</f>
        <v/>
      </c>
      <c r="I108" s="10">
        <f>IF($B108="","",MAX(0,RequiredHours-E108))</f>
        <v/>
      </c>
    </row>
    <row r="109">
      <c r="A109" s="9" t="n"/>
      <c r="B109" s="9" t="n"/>
      <c r="C109" s="9" t="n"/>
      <c r="D109" s="15" t="n"/>
      <c r="E109" s="10">
        <f>IF($B109="","",SUMIFS(Sessions!$I:$I,Sessions!$B:$B,$B109,Sessions!$A:$A,"&gt;="&amp;SemesterStart,Sessions!$A:$A,"&lt;="&amp;SemesterEnd))</f>
        <v/>
      </c>
      <c r="F109" s="10">
        <f>IF($B109="","",SUMIFS(Sessions!$F:$F,Sessions!$B:$B,$B109,Sessions!$G:$G,"Waiting",Sessions!$A:$A,"&gt;="&amp;SemesterStart,Sessions!$A:$A,"&lt;="&amp;SemesterEnd))</f>
        <v/>
      </c>
      <c r="G109" s="16">
        <f>IF($B109="","",MIN(1,E109/RequiredHours))</f>
        <v/>
      </c>
      <c r="H109" s="9">
        <f>IF($B109="","",IF(E109&gt;=RequiredHours,"Done","In progress"))</f>
        <v/>
      </c>
      <c r="I109" s="10">
        <f>IF($B109="","",MAX(0,RequiredHours-E109))</f>
        <v/>
      </c>
    </row>
    <row r="110">
      <c r="A110" s="9" t="n"/>
      <c r="B110" s="9" t="n"/>
      <c r="C110" s="9" t="n"/>
      <c r="D110" s="15" t="n"/>
      <c r="E110" s="10">
        <f>IF($B110="","",SUMIFS(Sessions!$I:$I,Sessions!$B:$B,$B110,Sessions!$A:$A,"&gt;="&amp;SemesterStart,Sessions!$A:$A,"&lt;="&amp;SemesterEnd))</f>
        <v/>
      </c>
      <c r="F110" s="10">
        <f>IF($B110="","",SUMIFS(Sessions!$F:$F,Sessions!$B:$B,$B110,Sessions!$G:$G,"Waiting",Sessions!$A:$A,"&gt;="&amp;SemesterStart,Sessions!$A:$A,"&lt;="&amp;SemesterEnd))</f>
        <v/>
      </c>
      <c r="G110" s="16">
        <f>IF($B110="","",MIN(1,E110/RequiredHours))</f>
        <v/>
      </c>
      <c r="H110" s="9">
        <f>IF($B110="","",IF(E110&gt;=RequiredHours,"Done","In progress"))</f>
        <v/>
      </c>
      <c r="I110" s="10">
        <f>IF($B110="","",MAX(0,RequiredHours-E110))</f>
        <v/>
      </c>
    </row>
    <row r="111">
      <c r="A111" s="9" t="n"/>
      <c r="B111" s="9" t="n"/>
      <c r="C111" s="9" t="n"/>
      <c r="D111" s="15" t="n"/>
      <c r="E111" s="10">
        <f>IF($B111="","",SUMIFS(Sessions!$I:$I,Sessions!$B:$B,$B111,Sessions!$A:$A,"&gt;="&amp;SemesterStart,Sessions!$A:$A,"&lt;="&amp;SemesterEnd))</f>
        <v/>
      </c>
      <c r="F111" s="10">
        <f>IF($B111="","",SUMIFS(Sessions!$F:$F,Sessions!$B:$B,$B111,Sessions!$G:$G,"Waiting",Sessions!$A:$A,"&gt;="&amp;SemesterStart,Sessions!$A:$A,"&lt;="&amp;SemesterEnd))</f>
        <v/>
      </c>
      <c r="G111" s="16">
        <f>IF($B111="","",MIN(1,E111/RequiredHours))</f>
        <v/>
      </c>
      <c r="H111" s="9">
        <f>IF($B111="","",IF(E111&gt;=RequiredHours,"Done","In progress"))</f>
        <v/>
      </c>
      <c r="I111" s="10">
        <f>IF($B111="","",MAX(0,RequiredHours-E111))</f>
        <v/>
      </c>
    </row>
    <row r="112">
      <c r="A112" s="9" t="n"/>
      <c r="B112" s="9" t="n"/>
      <c r="C112" s="9" t="n"/>
      <c r="D112" s="15" t="n"/>
      <c r="E112" s="10">
        <f>IF($B112="","",SUMIFS(Sessions!$I:$I,Sessions!$B:$B,$B112,Sessions!$A:$A,"&gt;="&amp;SemesterStart,Sessions!$A:$A,"&lt;="&amp;SemesterEnd))</f>
        <v/>
      </c>
      <c r="F112" s="10">
        <f>IF($B112="","",SUMIFS(Sessions!$F:$F,Sessions!$B:$B,$B112,Sessions!$G:$G,"Waiting",Sessions!$A:$A,"&gt;="&amp;SemesterStart,Sessions!$A:$A,"&lt;="&amp;SemesterEnd))</f>
        <v/>
      </c>
      <c r="G112" s="16">
        <f>IF($B112="","",MIN(1,E112/RequiredHours))</f>
        <v/>
      </c>
      <c r="H112" s="9">
        <f>IF($B112="","",IF(E112&gt;=RequiredHours,"Done","In progress"))</f>
        <v/>
      </c>
      <c r="I112" s="10">
        <f>IF($B112="","",MAX(0,RequiredHours-E112))</f>
        <v/>
      </c>
    </row>
    <row r="113">
      <c r="A113" s="9" t="n"/>
      <c r="B113" s="9" t="n"/>
      <c r="C113" s="9" t="n"/>
      <c r="D113" s="15" t="n"/>
      <c r="E113" s="10">
        <f>IF($B113="","",SUMIFS(Sessions!$I:$I,Sessions!$B:$B,$B113,Sessions!$A:$A,"&gt;="&amp;SemesterStart,Sessions!$A:$A,"&lt;="&amp;SemesterEnd))</f>
        <v/>
      </c>
      <c r="F113" s="10">
        <f>IF($B113="","",SUMIFS(Sessions!$F:$F,Sessions!$B:$B,$B113,Sessions!$G:$G,"Waiting",Sessions!$A:$A,"&gt;="&amp;SemesterStart,Sessions!$A:$A,"&lt;="&amp;SemesterEnd))</f>
        <v/>
      </c>
      <c r="G113" s="16">
        <f>IF($B113="","",MIN(1,E113/RequiredHours))</f>
        <v/>
      </c>
      <c r="H113" s="9">
        <f>IF($B113="","",IF(E113&gt;=RequiredHours,"Done","In progress"))</f>
        <v/>
      </c>
      <c r="I113" s="10">
        <f>IF($B113="","",MAX(0,RequiredHours-E113))</f>
        <v/>
      </c>
    </row>
    <row r="114">
      <c r="A114" s="9" t="n"/>
      <c r="B114" s="9" t="n"/>
      <c r="C114" s="9" t="n"/>
      <c r="D114" s="15" t="n"/>
      <c r="E114" s="10">
        <f>IF($B114="","",SUMIFS(Sessions!$I:$I,Sessions!$B:$B,$B114,Sessions!$A:$A,"&gt;="&amp;SemesterStart,Sessions!$A:$A,"&lt;="&amp;SemesterEnd))</f>
        <v/>
      </c>
      <c r="F114" s="10">
        <f>IF($B114="","",SUMIFS(Sessions!$F:$F,Sessions!$B:$B,$B114,Sessions!$G:$G,"Waiting",Sessions!$A:$A,"&gt;="&amp;SemesterStart,Sessions!$A:$A,"&lt;="&amp;SemesterEnd))</f>
        <v/>
      </c>
      <c r="G114" s="16">
        <f>IF($B114="","",MIN(1,E114/RequiredHours))</f>
        <v/>
      </c>
      <c r="H114" s="9">
        <f>IF($B114="","",IF(E114&gt;=RequiredHours,"Done","In progress"))</f>
        <v/>
      </c>
      <c r="I114" s="10">
        <f>IF($B114="","",MAX(0,RequiredHours-E114))</f>
        <v/>
      </c>
    </row>
    <row r="115">
      <c r="A115" s="9" t="n"/>
      <c r="B115" s="9" t="n"/>
      <c r="C115" s="9" t="n"/>
      <c r="D115" s="15" t="n"/>
      <c r="E115" s="10">
        <f>IF($B115="","",SUMIFS(Sessions!$I:$I,Sessions!$B:$B,$B115,Sessions!$A:$A,"&gt;="&amp;SemesterStart,Sessions!$A:$A,"&lt;="&amp;SemesterEnd))</f>
        <v/>
      </c>
      <c r="F115" s="10">
        <f>IF($B115="","",SUMIFS(Sessions!$F:$F,Sessions!$B:$B,$B115,Sessions!$G:$G,"Waiting",Sessions!$A:$A,"&gt;="&amp;SemesterStart,Sessions!$A:$A,"&lt;="&amp;SemesterEnd))</f>
        <v/>
      </c>
      <c r="G115" s="16">
        <f>IF($B115="","",MIN(1,E115/RequiredHours))</f>
        <v/>
      </c>
      <c r="H115" s="9">
        <f>IF($B115="","",IF(E115&gt;=RequiredHours,"Done","In progress"))</f>
        <v/>
      </c>
      <c r="I115" s="10">
        <f>IF($B115="","",MAX(0,RequiredHours-E115))</f>
        <v/>
      </c>
    </row>
    <row r="116">
      <c r="A116" s="9" t="n"/>
      <c r="B116" s="9" t="n"/>
      <c r="C116" s="9" t="n"/>
      <c r="D116" s="15" t="n"/>
      <c r="E116" s="10">
        <f>IF($B116="","",SUMIFS(Sessions!$I:$I,Sessions!$B:$B,$B116,Sessions!$A:$A,"&gt;="&amp;SemesterStart,Sessions!$A:$A,"&lt;="&amp;SemesterEnd))</f>
        <v/>
      </c>
      <c r="F116" s="10">
        <f>IF($B116="","",SUMIFS(Sessions!$F:$F,Sessions!$B:$B,$B116,Sessions!$G:$G,"Waiting",Sessions!$A:$A,"&gt;="&amp;SemesterStart,Sessions!$A:$A,"&lt;="&amp;SemesterEnd))</f>
        <v/>
      </c>
      <c r="G116" s="16">
        <f>IF($B116="","",MIN(1,E116/RequiredHours))</f>
        <v/>
      </c>
      <c r="H116" s="9">
        <f>IF($B116="","",IF(E116&gt;=RequiredHours,"Done","In progress"))</f>
        <v/>
      </c>
      <c r="I116" s="10">
        <f>IF($B116="","",MAX(0,RequiredHours-E116))</f>
        <v/>
      </c>
    </row>
    <row r="117">
      <c r="A117" s="9" t="n"/>
      <c r="B117" s="9" t="n"/>
      <c r="C117" s="9" t="n"/>
      <c r="D117" s="15" t="n"/>
      <c r="E117" s="10">
        <f>IF($B117="","",SUMIFS(Sessions!$I:$I,Sessions!$B:$B,$B117,Sessions!$A:$A,"&gt;="&amp;SemesterStart,Sessions!$A:$A,"&lt;="&amp;SemesterEnd))</f>
        <v/>
      </c>
      <c r="F117" s="10">
        <f>IF($B117="","",SUMIFS(Sessions!$F:$F,Sessions!$B:$B,$B117,Sessions!$G:$G,"Waiting",Sessions!$A:$A,"&gt;="&amp;SemesterStart,Sessions!$A:$A,"&lt;="&amp;SemesterEnd))</f>
        <v/>
      </c>
      <c r="G117" s="16">
        <f>IF($B117="","",MIN(1,E117/RequiredHours))</f>
        <v/>
      </c>
      <c r="H117" s="9">
        <f>IF($B117="","",IF(E117&gt;=RequiredHours,"Done","In progress"))</f>
        <v/>
      </c>
      <c r="I117" s="10">
        <f>IF($B117="","",MAX(0,RequiredHours-E117))</f>
        <v/>
      </c>
    </row>
    <row r="118">
      <c r="A118" s="9" t="n"/>
      <c r="B118" s="9" t="n"/>
      <c r="C118" s="9" t="n"/>
      <c r="D118" s="15" t="n"/>
      <c r="E118" s="10">
        <f>IF($B118="","",SUMIFS(Sessions!$I:$I,Sessions!$B:$B,$B118,Sessions!$A:$A,"&gt;="&amp;SemesterStart,Sessions!$A:$A,"&lt;="&amp;SemesterEnd))</f>
        <v/>
      </c>
      <c r="F118" s="10">
        <f>IF($B118="","",SUMIFS(Sessions!$F:$F,Sessions!$B:$B,$B118,Sessions!$G:$G,"Waiting",Sessions!$A:$A,"&gt;="&amp;SemesterStart,Sessions!$A:$A,"&lt;="&amp;SemesterEnd))</f>
        <v/>
      </c>
      <c r="G118" s="16">
        <f>IF($B118="","",MIN(1,E118/RequiredHours))</f>
        <v/>
      </c>
      <c r="H118" s="9">
        <f>IF($B118="","",IF(E118&gt;=RequiredHours,"Done","In progress"))</f>
        <v/>
      </c>
      <c r="I118" s="10">
        <f>IF($B118="","",MAX(0,RequiredHours-E118))</f>
        <v/>
      </c>
    </row>
    <row r="119">
      <c r="A119" s="9" t="n"/>
      <c r="B119" s="9" t="n"/>
      <c r="C119" s="9" t="n"/>
      <c r="D119" s="15" t="n"/>
      <c r="E119" s="10">
        <f>IF($B119="","",SUMIFS(Sessions!$I:$I,Sessions!$B:$B,$B119,Sessions!$A:$A,"&gt;="&amp;SemesterStart,Sessions!$A:$A,"&lt;="&amp;SemesterEnd))</f>
        <v/>
      </c>
      <c r="F119" s="10">
        <f>IF($B119="","",SUMIFS(Sessions!$F:$F,Sessions!$B:$B,$B119,Sessions!$G:$G,"Waiting",Sessions!$A:$A,"&gt;="&amp;SemesterStart,Sessions!$A:$A,"&lt;="&amp;SemesterEnd))</f>
        <v/>
      </c>
      <c r="G119" s="16">
        <f>IF($B119="","",MIN(1,E119/RequiredHours))</f>
        <v/>
      </c>
      <c r="H119" s="9">
        <f>IF($B119="","",IF(E119&gt;=RequiredHours,"Done","In progress"))</f>
        <v/>
      </c>
      <c r="I119" s="10">
        <f>IF($B119="","",MAX(0,RequiredHours-E119))</f>
        <v/>
      </c>
    </row>
    <row r="120">
      <c r="A120" s="9" t="n"/>
      <c r="B120" s="9" t="n"/>
      <c r="C120" s="9" t="n"/>
      <c r="D120" s="15" t="n"/>
      <c r="E120" s="10">
        <f>IF($B120="","",SUMIFS(Sessions!$I:$I,Sessions!$B:$B,$B120,Sessions!$A:$A,"&gt;="&amp;SemesterStart,Sessions!$A:$A,"&lt;="&amp;SemesterEnd))</f>
        <v/>
      </c>
      <c r="F120" s="10">
        <f>IF($B120="","",SUMIFS(Sessions!$F:$F,Sessions!$B:$B,$B120,Sessions!$G:$G,"Waiting",Sessions!$A:$A,"&gt;="&amp;SemesterStart,Sessions!$A:$A,"&lt;="&amp;SemesterEnd))</f>
        <v/>
      </c>
      <c r="G120" s="16">
        <f>IF($B120="","",MIN(1,E120/RequiredHours))</f>
        <v/>
      </c>
      <c r="H120" s="9">
        <f>IF($B120="","",IF(E120&gt;=RequiredHours,"Done","In progress"))</f>
        <v/>
      </c>
      <c r="I120" s="10">
        <f>IF($B120="","",MAX(0,RequiredHours-E120))</f>
        <v/>
      </c>
    </row>
    <row r="121">
      <c r="A121" s="9" t="n"/>
      <c r="B121" s="9" t="n"/>
      <c r="C121" s="9" t="n"/>
      <c r="D121" s="15" t="n"/>
      <c r="E121" s="10">
        <f>IF($B121="","",SUMIFS(Sessions!$I:$I,Sessions!$B:$B,$B121,Sessions!$A:$A,"&gt;="&amp;SemesterStart,Sessions!$A:$A,"&lt;="&amp;SemesterEnd))</f>
        <v/>
      </c>
      <c r="F121" s="10">
        <f>IF($B121="","",SUMIFS(Sessions!$F:$F,Sessions!$B:$B,$B121,Sessions!$G:$G,"Waiting",Sessions!$A:$A,"&gt;="&amp;SemesterStart,Sessions!$A:$A,"&lt;="&amp;SemesterEnd))</f>
        <v/>
      </c>
      <c r="G121" s="16">
        <f>IF($B121="","",MIN(1,E121/RequiredHours))</f>
        <v/>
      </c>
      <c r="H121" s="9">
        <f>IF($B121="","",IF(E121&gt;=RequiredHours,"Done","In progress"))</f>
        <v/>
      </c>
      <c r="I121" s="10">
        <f>IF($B121="","",MAX(0,RequiredHours-E121))</f>
        <v/>
      </c>
    </row>
    <row r="122">
      <c r="A122" s="9" t="n"/>
      <c r="B122" s="9" t="n"/>
      <c r="C122" s="9" t="n"/>
      <c r="D122" s="15" t="n"/>
      <c r="E122" s="10">
        <f>IF($B122="","",SUMIFS(Sessions!$I:$I,Sessions!$B:$B,$B122,Sessions!$A:$A,"&gt;="&amp;SemesterStart,Sessions!$A:$A,"&lt;="&amp;SemesterEnd))</f>
        <v/>
      </c>
      <c r="F122" s="10">
        <f>IF($B122="","",SUMIFS(Sessions!$F:$F,Sessions!$B:$B,$B122,Sessions!$G:$G,"Waiting",Sessions!$A:$A,"&gt;="&amp;SemesterStart,Sessions!$A:$A,"&lt;="&amp;SemesterEnd))</f>
        <v/>
      </c>
      <c r="G122" s="16">
        <f>IF($B122="","",MIN(1,E122/RequiredHours))</f>
        <v/>
      </c>
      <c r="H122" s="9">
        <f>IF($B122="","",IF(E122&gt;=RequiredHours,"Done","In progress"))</f>
        <v/>
      </c>
      <c r="I122" s="10">
        <f>IF($B122="","",MAX(0,RequiredHours-E122))</f>
        <v/>
      </c>
    </row>
    <row r="123">
      <c r="A123" s="9" t="n"/>
      <c r="B123" s="9" t="n"/>
      <c r="C123" s="9" t="n"/>
      <c r="D123" s="15" t="n"/>
      <c r="E123" s="10">
        <f>IF($B123="","",SUMIFS(Sessions!$I:$I,Sessions!$B:$B,$B123,Sessions!$A:$A,"&gt;="&amp;SemesterStart,Sessions!$A:$A,"&lt;="&amp;SemesterEnd))</f>
        <v/>
      </c>
      <c r="F123" s="10">
        <f>IF($B123="","",SUMIFS(Sessions!$F:$F,Sessions!$B:$B,$B123,Sessions!$G:$G,"Waiting",Sessions!$A:$A,"&gt;="&amp;SemesterStart,Sessions!$A:$A,"&lt;="&amp;SemesterEnd))</f>
        <v/>
      </c>
      <c r="G123" s="16">
        <f>IF($B123="","",MIN(1,E123/RequiredHours))</f>
        <v/>
      </c>
      <c r="H123" s="9">
        <f>IF($B123="","",IF(E123&gt;=RequiredHours,"Done","In progress"))</f>
        <v/>
      </c>
      <c r="I123" s="10">
        <f>IF($B123="","",MAX(0,RequiredHours-E123))</f>
        <v/>
      </c>
    </row>
    <row r="124">
      <c r="A124" s="9" t="n"/>
      <c r="B124" s="9" t="n"/>
      <c r="C124" s="9" t="n"/>
      <c r="D124" s="15" t="n"/>
      <c r="E124" s="10">
        <f>IF($B124="","",SUMIFS(Sessions!$I:$I,Sessions!$B:$B,$B124,Sessions!$A:$A,"&gt;="&amp;SemesterStart,Sessions!$A:$A,"&lt;="&amp;SemesterEnd))</f>
        <v/>
      </c>
      <c r="F124" s="10">
        <f>IF($B124="","",SUMIFS(Sessions!$F:$F,Sessions!$B:$B,$B124,Sessions!$G:$G,"Waiting",Sessions!$A:$A,"&gt;="&amp;SemesterStart,Sessions!$A:$A,"&lt;="&amp;SemesterEnd))</f>
        <v/>
      </c>
      <c r="G124" s="16">
        <f>IF($B124="","",MIN(1,E124/RequiredHours))</f>
        <v/>
      </c>
      <c r="H124" s="9">
        <f>IF($B124="","",IF(E124&gt;=RequiredHours,"Done","In progress"))</f>
        <v/>
      </c>
      <c r="I124" s="10">
        <f>IF($B124="","",MAX(0,RequiredHours-E124))</f>
        <v/>
      </c>
    </row>
    <row r="125">
      <c r="A125" s="9" t="n"/>
      <c r="B125" s="9" t="n"/>
      <c r="C125" s="9" t="n"/>
      <c r="D125" s="15" t="n"/>
      <c r="E125" s="10">
        <f>IF($B125="","",SUMIFS(Sessions!$I:$I,Sessions!$B:$B,$B125,Sessions!$A:$A,"&gt;="&amp;SemesterStart,Sessions!$A:$A,"&lt;="&amp;SemesterEnd))</f>
        <v/>
      </c>
      <c r="F125" s="10">
        <f>IF($B125="","",SUMIFS(Sessions!$F:$F,Sessions!$B:$B,$B125,Sessions!$G:$G,"Waiting",Sessions!$A:$A,"&gt;="&amp;SemesterStart,Sessions!$A:$A,"&lt;="&amp;SemesterEnd))</f>
        <v/>
      </c>
      <c r="G125" s="16">
        <f>IF($B125="","",MIN(1,E125/RequiredHours))</f>
        <v/>
      </c>
      <c r="H125" s="9">
        <f>IF($B125="","",IF(E125&gt;=RequiredHours,"Done","In progress"))</f>
        <v/>
      </c>
      <c r="I125" s="10">
        <f>IF($B125="","",MAX(0,RequiredHours-E125))</f>
        <v/>
      </c>
    </row>
    <row r="126">
      <c r="A126" s="9" t="n"/>
      <c r="B126" s="9" t="n"/>
      <c r="C126" s="9" t="n"/>
      <c r="D126" s="15" t="n"/>
      <c r="E126" s="10">
        <f>IF($B126="","",SUMIFS(Sessions!$I:$I,Sessions!$B:$B,$B126,Sessions!$A:$A,"&gt;="&amp;SemesterStart,Sessions!$A:$A,"&lt;="&amp;SemesterEnd))</f>
        <v/>
      </c>
      <c r="F126" s="10">
        <f>IF($B126="","",SUMIFS(Sessions!$F:$F,Sessions!$B:$B,$B126,Sessions!$G:$G,"Waiting",Sessions!$A:$A,"&gt;="&amp;SemesterStart,Sessions!$A:$A,"&lt;="&amp;SemesterEnd))</f>
        <v/>
      </c>
      <c r="G126" s="16">
        <f>IF($B126="","",MIN(1,E126/RequiredHours))</f>
        <v/>
      </c>
      <c r="H126" s="9">
        <f>IF($B126="","",IF(E126&gt;=RequiredHours,"Done","In progress"))</f>
        <v/>
      </c>
      <c r="I126" s="10">
        <f>IF($B126="","",MAX(0,RequiredHours-E126))</f>
        <v/>
      </c>
    </row>
    <row r="127">
      <c r="A127" s="9" t="n"/>
      <c r="B127" s="9" t="n"/>
      <c r="C127" s="9" t="n"/>
      <c r="D127" s="15" t="n"/>
      <c r="E127" s="10">
        <f>IF($B127="","",SUMIFS(Sessions!$I:$I,Sessions!$B:$B,$B127,Sessions!$A:$A,"&gt;="&amp;SemesterStart,Sessions!$A:$A,"&lt;="&amp;SemesterEnd))</f>
        <v/>
      </c>
      <c r="F127" s="10">
        <f>IF($B127="","",SUMIFS(Sessions!$F:$F,Sessions!$B:$B,$B127,Sessions!$G:$G,"Waiting",Sessions!$A:$A,"&gt;="&amp;SemesterStart,Sessions!$A:$A,"&lt;="&amp;SemesterEnd))</f>
        <v/>
      </c>
      <c r="G127" s="16">
        <f>IF($B127="","",MIN(1,E127/RequiredHours))</f>
        <v/>
      </c>
      <c r="H127" s="9">
        <f>IF($B127="","",IF(E127&gt;=RequiredHours,"Done","In progress"))</f>
        <v/>
      </c>
      <c r="I127" s="10">
        <f>IF($B127="","",MAX(0,RequiredHours-E127))</f>
        <v/>
      </c>
    </row>
    <row r="128">
      <c r="A128" s="9" t="n"/>
      <c r="B128" s="9" t="n"/>
      <c r="C128" s="9" t="n"/>
      <c r="D128" s="15" t="n"/>
      <c r="E128" s="10">
        <f>IF($B128="","",SUMIFS(Sessions!$I:$I,Sessions!$B:$B,$B128,Sessions!$A:$A,"&gt;="&amp;SemesterStart,Sessions!$A:$A,"&lt;="&amp;SemesterEnd))</f>
        <v/>
      </c>
      <c r="F128" s="10">
        <f>IF($B128="","",SUMIFS(Sessions!$F:$F,Sessions!$B:$B,$B128,Sessions!$G:$G,"Waiting",Sessions!$A:$A,"&gt;="&amp;SemesterStart,Sessions!$A:$A,"&lt;="&amp;SemesterEnd))</f>
        <v/>
      </c>
      <c r="G128" s="16">
        <f>IF($B128="","",MIN(1,E128/RequiredHours))</f>
        <v/>
      </c>
      <c r="H128" s="9">
        <f>IF($B128="","",IF(E128&gt;=RequiredHours,"Done","In progress"))</f>
        <v/>
      </c>
      <c r="I128" s="10">
        <f>IF($B128="","",MAX(0,RequiredHours-E128))</f>
        <v/>
      </c>
    </row>
    <row r="129">
      <c r="A129" s="9" t="n"/>
      <c r="B129" s="9" t="n"/>
      <c r="C129" s="9" t="n"/>
      <c r="D129" s="15" t="n"/>
      <c r="E129" s="10">
        <f>IF($B129="","",SUMIFS(Sessions!$I:$I,Sessions!$B:$B,$B129,Sessions!$A:$A,"&gt;="&amp;SemesterStart,Sessions!$A:$A,"&lt;="&amp;SemesterEnd))</f>
        <v/>
      </c>
      <c r="F129" s="10">
        <f>IF($B129="","",SUMIFS(Sessions!$F:$F,Sessions!$B:$B,$B129,Sessions!$G:$G,"Waiting",Sessions!$A:$A,"&gt;="&amp;SemesterStart,Sessions!$A:$A,"&lt;="&amp;SemesterEnd))</f>
        <v/>
      </c>
      <c r="G129" s="16">
        <f>IF($B129="","",MIN(1,E129/RequiredHours))</f>
        <v/>
      </c>
      <c r="H129" s="9">
        <f>IF($B129="","",IF(E129&gt;=RequiredHours,"Done","In progress"))</f>
        <v/>
      </c>
      <c r="I129" s="10">
        <f>IF($B129="","",MAX(0,RequiredHours-E129))</f>
        <v/>
      </c>
    </row>
    <row r="130">
      <c r="A130" s="9" t="n"/>
      <c r="B130" s="9" t="n"/>
      <c r="C130" s="9" t="n"/>
      <c r="D130" s="15" t="n"/>
      <c r="E130" s="10">
        <f>IF($B130="","",SUMIFS(Sessions!$I:$I,Sessions!$B:$B,$B130,Sessions!$A:$A,"&gt;="&amp;SemesterStart,Sessions!$A:$A,"&lt;="&amp;SemesterEnd))</f>
        <v/>
      </c>
      <c r="F130" s="10">
        <f>IF($B130="","",SUMIFS(Sessions!$F:$F,Sessions!$B:$B,$B130,Sessions!$G:$G,"Waiting",Sessions!$A:$A,"&gt;="&amp;SemesterStart,Sessions!$A:$A,"&lt;="&amp;SemesterEnd))</f>
        <v/>
      </c>
      <c r="G130" s="16">
        <f>IF($B130="","",MIN(1,E130/RequiredHours))</f>
        <v/>
      </c>
      <c r="H130" s="9">
        <f>IF($B130="","",IF(E130&gt;=RequiredHours,"Done","In progress"))</f>
        <v/>
      </c>
      <c r="I130" s="10">
        <f>IF($B130="","",MAX(0,RequiredHours-E130))</f>
        <v/>
      </c>
    </row>
    <row r="131">
      <c r="A131" s="9" t="n"/>
      <c r="B131" s="9" t="n"/>
      <c r="C131" s="9" t="n"/>
      <c r="D131" s="15" t="n"/>
      <c r="E131" s="10">
        <f>IF($B131="","",SUMIFS(Sessions!$I:$I,Sessions!$B:$B,$B131,Sessions!$A:$A,"&gt;="&amp;SemesterStart,Sessions!$A:$A,"&lt;="&amp;SemesterEnd))</f>
        <v/>
      </c>
      <c r="F131" s="10">
        <f>IF($B131="","",SUMIFS(Sessions!$F:$F,Sessions!$B:$B,$B131,Sessions!$G:$G,"Waiting",Sessions!$A:$A,"&gt;="&amp;SemesterStart,Sessions!$A:$A,"&lt;="&amp;SemesterEnd))</f>
        <v/>
      </c>
      <c r="G131" s="16">
        <f>IF($B131="","",MIN(1,E131/RequiredHours))</f>
        <v/>
      </c>
      <c r="H131" s="9">
        <f>IF($B131="","",IF(E131&gt;=RequiredHours,"Done","In progress"))</f>
        <v/>
      </c>
      <c r="I131" s="10">
        <f>IF($B131="","",MAX(0,RequiredHours-E131))</f>
        <v/>
      </c>
    </row>
    <row r="132">
      <c r="A132" s="9" t="n"/>
      <c r="B132" s="9" t="n"/>
      <c r="C132" s="9" t="n"/>
      <c r="D132" s="15" t="n"/>
      <c r="E132" s="10">
        <f>IF($B132="","",SUMIFS(Sessions!$I:$I,Sessions!$B:$B,$B132,Sessions!$A:$A,"&gt;="&amp;SemesterStart,Sessions!$A:$A,"&lt;="&amp;SemesterEnd))</f>
        <v/>
      </c>
      <c r="F132" s="10">
        <f>IF($B132="","",SUMIFS(Sessions!$F:$F,Sessions!$B:$B,$B132,Sessions!$G:$G,"Waiting",Sessions!$A:$A,"&gt;="&amp;SemesterStart,Sessions!$A:$A,"&lt;="&amp;SemesterEnd))</f>
        <v/>
      </c>
      <c r="G132" s="16">
        <f>IF($B132="","",MIN(1,E132/RequiredHours))</f>
        <v/>
      </c>
      <c r="H132" s="9">
        <f>IF($B132="","",IF(E132&gt;=RequiredHours,"Done","In progress"))</f>
        <v/>
      </c>
      <c r="I132" s="10">
        <f>IF($B132="","",MAX(0,RequiredHours-E132))</f>
        <v/>
      </c>
    </row>
    <row r="133">
      <c r="A133" s="9" t="n"/>
      <c r="B133" s="9" t="n"/>
      <c r="C133" s="9" t="n"/>
      <c r="D133" s="15" t="n"/>
      <c r="E133" s="10">
        <f>IF($B133="","",SUMIFS(Sessions!$I:$I,Sessions!$B:$B,$B133,Sessions!$A:$A,"&gt;="&amp;SemesterStart,Sessions!$A:$A,"&lt;="&amp;SemesterEnd))</f>
        <v/>
      </c>
      <c r="F133" s="10">
        <f>IF($B133="","",SUMIFS(Sessions!$F:$F,Sessions!$B:$B,$B133,Sessions!$G:$G,"Waiting",Sessions!$A:$A,"&gt;="&amp;SemesterStart,Sessions!$A:$A,"&lt;="&amp;SemesterEnd))</f>
        <v/>
      </c>
      <c r="G133" s="16">
        <f>IF($B133="","",MIN(1,E133/RequiredHours))</f>
        <v/>
      </c>
      <c r="H133" s="9">
        <f>IF($B133="","",IF(E133&gt;=RequiredHours,"Done","In progress"))</f>
        <v/>
      </c>
      <c r="I133" s="10">
        <f>IF($B133="","",MAX(0,RequiredHours-E133))</f>
        <v/>
      </c>
    </row>
    <row r="134">
      <c r="A134" s="9" t="n"/>
      <c r="B134" s="9" t="n"/>
      <c r="C134" s="9" t="n"/>
      <c r="D134" s="15" t="n"/>
      <c r="E134" s="10">
        <f>IF($B134="","",SUMIFS(Sessions!$I:$I,Sessions!$B:$B,$B134,Sessions!$A:$A,"&gt;="&amp;SemesterStart,Sessions!$A:$A,"&lt;="&amp;SemesterEnd))</f>
        <v/>
      </c>
      <c r="F134" s="10">
        <f>IF($B134="","",SUMIFS(Sessions!$F:$F,Sessions!$B:$B,$B134,Sessions!$G:$G,"Waiting",Sessions!$A:$A,"&gt;="&amp;SemesterStart,Sessions!$A:$A,"&lt;="&amp;SemesterEnd))</f>
        <v/>
      </c>
      <c r="G134" s="16">
        <f>IF($B134="","",MIN(1,E134/RequiredHours))</f>
        <v/>
      </c>
      <c r="H134" s="9">
        <f>IF($B134="","",IF(E134&gt;=RequiredHours,"Done","In progress"))</f>
        <v/>
      </c>
      <c r="I134" s="10">
        <f>IF($B134="","",MAX(0,RequiredHours-E134))</f>
        <v/>
      </c>
    </row>
    <row r="135">
      <c r="A135" s="9" t="n"/>
      <c r="B135" s="9" t="n"/>
      <c r="C135" s="9" t="n"/>
      <c r="D135" s="15" t="n"/>
      <c r="E135" s="10">
        <f>IF($B135="","",SUMIFS(Sessions!$I:$I,Sessions!$B:$B,$B135,Sessions!$A:$A,"&gt;="&amp;SemesterStart,Sessions!$A:$A,"&lt;="&amp;SemesterEnd))</f>
        <v/>
      </c>
      <c r="F135" s="10">
        <f>IF($B135="","",SUMIFS(Sessions!$F:$F,Sessions!$B:$B,$B135,Sessions!$G:$G,"Waiting",Sessions!$A:$A,"&gt;="&amp;SemesterStart,Sessions!$A:$A,"&lt;="&amp;SemesterEnd))</f>
        <v/>
      </c>
      <c r="G135" s="16">
        <f>IF($B135="","",MIN(1,E135/RequiredHours))</f>
        <v/>
      </c>
      <c r="H135" s="9">
        <f>IF($B135="","",IF(E135&gt;=RequiredHours,"Done","In progress"))</f>
        <v/>
      </c>
      <c r="I135" s="10">
        <f>IF($B135="","",MAX(0,RequiredHours-E135))</f>
        <v/>
      </c>
    </row>
    <row r="136">
      <c r="A136" s="9" t="n"/>
      <c r="B136" s="9" t="n"/>
      <c r="C136" s="9" t="n"/>
      <c r="D136" s="15" t="n"/>
      <c r="E136" s="10">
        <f>IF($B136="","",SUMIFS(Sessions!$I:$I,Sessions!$B:$B,$B136,Sessions!$A:$A,"&gt;="&amp;SemesterStart,Sessions!$A:$A,"&lt;="&amp;SemesterEnd))</f>
        <v/>
      </c>
      <c r="F136" s="10">
        <f>IF($B136="","",SUMIFS(Sessions!$F:$F,Sessions!$B:$B,$B136,Sessions!$G:$G,"Waiting",Sessions!$A:$A,"&gt;="&amp;SemesterStart,Sessions!$A:$A,"&lt;="&amp;SemesterEnd))</f>
        <v/>
      </c>
      <c r="G136" s="16">
        <f>IF($B136="","",MIN(1,E136/RequiredHours))</f>
        <v/>
      </c>
      <c r="H136" s="9">
        <f>IF($B136="","",IF(E136&gt;=RequiredHours,"Done","In progress"))</f>
        <v/>
      </c>
      <c r="I136" s="10">
        <f>IF($B136="","",MAX(0,RequiredHours-E136))</f>
        <v/>
      </c>
    </row>
    <row r="137">
      <c r="A137" s="9" t="n"/>
      <c r="B137" s="9" t="n"/>
      <c r="C137" s="9" t="n"/>
      <c r="D137" s="15" t="n"/>
      <c r="E137" s="10">
        <f>IF($B137="","",SUMIFS(Sessions!$I:$I,Sessions!$B:$B,$B137,Sessions!$A:$A,"&gt;="&amp;SemesterStart,Sessions!$A:$A,"&lt;="&amp;SemesterEnd))</f>
        <v/>
      </c>
      <c r="F137" s="10">
        <f>IF($B137="","",SUMIFS(Sessions!$F:$F,Sessions!$B:$B,$B137,Sessions!$G:$G,"Waiting",Sessions!$A:$A,"&gt;="&amp;SemesterStart,Sessions!$A:$A,"&lt;="&amp;SemesterEnd))</f>
        <v/>
      </c>
      <c r="G137" s="16">
        <f>IF($B137="","",MIN(1,E137/RequiredHours))</f>
        <v/>
      </c>
      <c r="H137" s="9">
        <f>IF($B137="","",IF(E137&gt;=RequiredHours,"Done","In progress"))</f>
        <v/>
      </c>
      <c r="I137" s="10">
        <f>IF($B137="","",MAX(0,RequiredHours-E137))</f>
        <v/>
      </c>
    </row>
    <row r="138">
      <c r="A138" s="9" t="n"/>
      <c r="B138" s="9" t="n"/>
      <c r="C138" s="9" t="n"/>
      <c r="D138" s="15" t="n"/>
      <c r="E138" s="10">
        <f>IF($B138="","",SUMIFS(Sessions!$I:$I,Sessions!$B:$B,$B138,Sessions!$A:$A,"&gt;="&amp;SemesterStart,Sessions!$A:$A,"&lt;="&amp;SemesterEnd))</f>
        <v/>
      </c>
      <c r="F138" s="10">
        <f>IF($B138="","",SUMIFS(Sessions!$F:$F,Sessions!$B:$B,$B138,Sessions!$G:$G,"Waiting",Sessions!$A:$A,"&gt;="&amp;SemesterStart,Sessions!$A:$A,"&lt;="&amp;SemesterEnd))</f>
        <v/>
      </c>
      <c r="G138" s="16">
        <f>IF($B138="","",MIN(1,E138/RequiredHours))</f>
        <v/>
      </c>
      <c r="H138" s="9">
        <f>IF($B138="","",IF(E138&gt;=RequiredHours,"Done","In progress"))</f>
        <v/>
      </c>
      <c r="I138" s="10">
        <f>IF($B138="","",MAX(0,RequiredHours-E138))</f>
        <v/>
      </c>
    </row>
    <row r="139">
      <c r="A139" s="9" t="n"/>
      <c r="B139" s="9" t="n"/>
      <c r="C139" s="9" t="n"/>
      <c r="D139" s="15" t="n"/>
      <c r="E139" s="10">
        <f>IF($B139="","",SUMIFS(Sessions!$I:$I,Sessions!$B:$B,$B139,Sessions!$A:$A,"&gt;="&amp;SemesterStart,Sessions!$A:$A,"&lt;="&amp;SemesterEnd))</f>
        <v/>
      </c>
      <c r="F139" s="10">
        <f>IF($B139="","",SUMIFS(Sessions!$F:$F,Sessions!$B:$B,$B139,Sessions!$G:$G,"Waiting",Sessions!$A:$A,"&gt;="&amp;SemesterStart,Sessions!$A:$A,"&lt;="&amp;SemesterEnd))</f>
        <v/>
      </c>
      <c r="G139" s="16">
        <f>IF($B139="","",MIN(1,E139/RequiredHours))</f>
        <v/>
      </c>
      <c r="H139" s="9">
        <f>IF($B139="","",IF(E139&gt;=RequiredHours,"Done","In progress"))</f>
        <v/>
      </c>
      <c r="I139" s="10">
        <f>IF($B139="","",MAX(0,RequiredHours-E139))</f>
        <v/>
      </c>
    </row>
    <row r="140">
      <c r="A140" s="9" t="n"/>
      <c r="B140" s="9" t="n"/>
      <c r="C140" s="9" t="n"/>
      <c r="D140" s="15" t="n"/>
      <c r="E140" s="10">
        <f>IF($B140="","",SUMIFS(Sessions!$I:$I,Sessions!$B:$B,$B140,Sessions!$A:$A,"&gt;="&amp;SemesterStart,Sessions!$A:$A,"&lt;="&amp;SemesterEnd))</f>
        <v/>
      </c>
      <c r="F140" s="10">
        <f>IF($B140="","",SUMIFS(Sessions!$F:$F,Sessions!$B:$B,$B140,Sessions!$G:$G,"Waiting",Sessions!$A:$A,"&gt;="&amp;SemesterStart,Sessions!$A:$A,"&lt;="&amp;SemesterEnd))</f>
        <v/>
      </c>
      <c r="G140" s="16">
        <f>IF($B140="","",MIN(1,E140/RequiredHours))</f>
        <v/>
      </c>
      <c r="H140" s="9">
        <f>IF($B140="","",IF(E140&gt;=RequiredHours,"Done","In progress"))</f>
        <v/>
      </c>
      <c r="I140" s="10">
        <f>IF($B140="","",MAX(0,RequiredHours-E140))</f>
        <v/>
      </c>
    </row>
    <row r="141">
      <c r="A141" s="9" t="n"/>
      <c r="B141" s="9" t="n"/>
      <c r="C141" s="9" t="n"/>
      <c r="D141" s="15" t="n"/>
      <c r="E141" s="10">
        <f>IF($B141="","",SUMIFS(Sessions!$I:$I,Sessions!$B:$B,$B141,Sessions!$A:$A,"&gt;="&amp;SemesterStart,Sessions!$A:$A,"&lt;="&amp;SemesterEnd))</f>
        <v/>
      </c>
      <c r="F141" s="10">
        <f>IF($B141="","",SUMIFS(Sessions!$F:$F,Sessions!$B:$B,$B141,Sessions!$G:$G,"Waiting",Sessions!$A:$A,"&gt;="&amp;SemesterStart,Sessions!$A:$A,"&lt;="&amp;SemesterEnd))</f>
        <v/>
      </c>
      <c r="G141" s="16">
        <f>IF($B141="","",MIN(1,E141/RequiredHours))</f>
        <v/>
      </c>
      <c r="H141" s="9">
        <f>IF($B141="","",IF(E141&gt;=RequiredHours,"Done","In progress"))</f>
        <v/>
      </c>
      <c r="I141" s="10">
        <f>IF($B141="","",MAX(0,RequiredHours-E141))</f>
        <v/>
      </c>
    </row>
    <row r="142">
      <c r="A142" s="9" t="n"/>
      <c r="B142" s="9" t="n"/>
      <c r="C142" s="9" t="n"/>
      <c r="D142" s="15" t="n"/>
      <c r="E142" s="10">
        <f>IF($B142="","",SUMIFS(Sessions!$I:$I,Sessions!$B:$B,$B142,Sessions!$A:$A,"&gt;="&amp;SemesterStart,Sessions!$A:$A,"&lt;="&amp;SemesterEnd))</f>
        <v/>
      </c>
      <c r="F142" s="10">
        <f>IF($B142="","",SUMIFS(Sessions!$F:$F,Sessions!$B:$B,$B142,Sessions!$G:$G,"Waiting",Sessions!$A:$A,"&gt;="&amp;SemesterStart,Sessions!$A:$A,"&lt;="&amp;SemesterEnd))</f>
        <v/>
      </c>
      <c r="G142" s="16">
        <f>IF($B142="","",MIN(1,E142/RequiredHours))</f>
        <v/>
      </c>
      <c r="H142" s="9">
        <f>IF($B142="","",IF(E142&gt;=RequiredHours,"Done","In progress"))</f>
        <v/>
      </c>
      <c r="I142" s="10">
        <f>IF($B142="","",MAX(0,RequiredHours-E142))</f>
        <v/>
      </c>
    </row>
    <row r="143">
      <c r="A143" s="9" t="n"/>
      <c r="B143" s="9" t="n"/>
      <c r="C143" s="9" t="n"/>
      <c r="D143" s="15" t="n"/>
      <c r="E143" s="10">
        <f>IF($B143="","",SUMIFS(Sessions!$I:$I,Sessions!$B:$B,$B143,Sessions!$A:$A,"&gt;="&amp;SemesterStart,Sessions!$A:$A,"&lt;="&amp;SemesterEnd))</f>
        <v/>
      </c>
      <c r="F143" s="10">
        <f>IF($B143="","",SUMIFS(Sessions!$F:$F,Sessions!$B:$B,$B143,Sessions!$G:$G,"Waiting",Sessions!$A:$A,"&gt;="&amp;SemesterStart,Sessions!$A:$A,"&lt;="&amp;SemesterEnd))</f>
        <v/>
      </c>
      <c r="G143" s="16">
        <f>IF($B143="","",MIN(1,E143/RequiredHours))</f>
        <v/>
      </c>
      <c r="H143" s="9">
        <f>IF($B143="","",IF(E143&gt;=RequiredHours,"Done","In progress"))</f>
        <v/>
      </c>
      <c r="I143" s="10">
        <f>IF($B143="","",MAX(0,RequiredHours-E143))</f>
        <v/>
      </c>
    </row>
    <row r="144">
      <c r="A144" s="9" t="n"/>
      <c r="B144" s="9" t="n"/>
      <c r="C144" s="9" t="n"/>
      <c r="D144" s="15" t="n"/>
      <c r="E144" s="10">
        <f>IF($B144="","",SUMIFS(Sessions!$I:$I,Sessions!$B:$B,$B144,Sessions!$A:$A,"&gt;="&amp;SemesterStart,Sessions!$A:$A,"&lt;="&amp;SemesterEnd))</f>
        <v/>
      </c>
      <c r="F144" s="10">
        <f>IF($B144="","",SUMIFS(Sessions!$F:$F,Sessions!$B:$B,$B144,Sessions!$G:$G,"Waiting",Sessions!$A:$A,"&gt;="&amp;SemesterStart,Sessions!$A:$A,"&lt;="&amp;SemesterEnd))</f>
        <v/>
      </c>
      <c r="G144" s="16">
        <f>IF($B144="","",MIN(1,E144/RequiredHours))</f>
        <v/>
      </c>
      <c r="H144" s="9">
        <f>IF($B144="","",IF(E144&gt;=RequiredHours,"Done","In progress"))</f>
        <v/>
      </c>
      <c r="I144" s="10">
        <f>IF($B144="","",MAX(0,RequiredHours-E144))</f>
        <v/>
      </c>
    </row>
    <row r="145">
      <c r="A145" s="9" t="n"/>
      <c r="B145" s="9" t="n"/>
      <c r="C145" s="9" t="n"/>
      <c r="D145" s="15" t="n"/>
      <c r="E145" s="10">
        <f>IF($B145="","",SUMIFS(Sessions!$I:$I,Sessions!$B:$B,$B145,Sessions!$A:$A,"&gt;="&amp;SemesterStart,Sessions!$A:$A,"&lt;="&amp;SemesterEnd))</f>
        <v/>
      </c>
      <c r="F145" s="10">
        <f>IF($B145="","",SUMIFS(Sessions!$F:$F,Sessions!$B:$B,$B145,Sessions!$G:$G,"Waiting",Sessions!$A:$A,"&gt;="&amp;SemesterStart,Sessions!$A:$A,"&lt;="&amp;SemesterEnd))</f>
        <v/>
      </c>
      <c r="G145" s="16">
        <f>IF($B145="","",MIN(1,E145/RequiredHours))</f>
        <v/>
      </c>
      <c r="H145" s="9">
        <f>IF($B145="","",IF(E145&gt;=RequiredHours,"Done","In progress"))</f>
        <v/>
      </c>
      <c r="I145" s="10">
        <f>IF($B145="","",MAX(0,RequiredHours-E145))</f>
        <v/>
      </c>
    </row>
    <row r="146">
      <c r="A146" s="9" t="n"/>
      <c r="B146" s="9" t="n"/>
      <c r="C146" s="9" t="n"/>
      <c r="D146" s="15" t="n"/>
      <c r="E146" s="10">
        <f>IF($B146="","",SUMIFS(Sessions!$I:$I,Sessions!$B:$B,$B146,Sessions!$A:$A,"&gt;="&amp;SemesterStart,Sessions!$A:$A,"&lt;="&amp;SemesterEnd))</f>
        <v/>
      </c>
      <c r="F146" s="10">
        <f>IF($B146="","",SUMIFS(Sessions!$F:$F,Sessions!$B:$B,$B146,Sessions!$G:$G,"Waiting",Sessions!$A:$A,"&gt;="&amp;SemesterStart,Sessions!$A:$A,"&lt;="&amp;SemesterEnd))</f>
        <v/>
      </c>
      <c r="G146" s="16">
        <f>IF($B146="","",MIN(1,E146/RequiredHours))</f>
        <v/>
      </c>
      <c r="H146" s="9">
        <f>IF($B146="","",IF(E146&gt;=RequiredHours,"Done","In progress"))</f>
        <v/>
      </c>
      <c r="I146" s="10">
        <f>IF($B146="","",MAX(0,RequiredHours-E146))</f>
        <v/>
      </c>
    </row>
    <row r="147">
      <c r="A147" s="9" t="n"/>
      <c r="B147" s="9" t="n"/>
      <c r="C147" s="9" t="n"/>
      <c r="D147" s="15" t="n"/>
      <c r="E147" s="10">
        <f>IF($B147="","",SUMIFS(Sessions!$I:$I,Sessions!$B:$B,$B147,Sessions!$A:$A,"&gt;="&amp;SemesterStart,Sessions!$A:$A,"&lt;="&amp;SemesterEnd))</f>
        <v/>
      </c>
      <c r="F147" s="10">
        <f>IF($B147="","",SUMIFS(Sessions!$F:$F,Sessions!$B:$B,$B147,Sessions!$G:$G,"Waiting",Sessions!$A:$A,"&gt;="&amp;SemesterStart,Sessions!$A:$A,"&lt;="&amp;SemesterEnd))</f>
        <v/>
      </c>
      <c r="G147" s="16">
        <f>IF($B147="","",MIN(1,E147/RequiredHours))</f>
        <v/>
      </c>
      <c r="H147" s="9">
        <f>IF($B147="","",IF(E147&gt;=RequiredHours,"Done","In progress"))</f>
        <v/>
      </c>
      <c r="I147" s="10">
        <f>IF($B147="","",MAX(0,RequiredHours-E147))</f>
        <v/>
      </c>
    </row>
    <row r="148">
      <c r="A148" s="9" t="n"/>
      <c r="B148" s="9" t="n"/>
      <c r="C148" s="9" t="n"/>
      <c r="D148" s="15" t="n"/>
      <c r="E148" s="10">
        <f>IF($B148="","",SUMIFS(Sessions!$I:$I,Sessions!$B:$B,$B148,Sessions!$A:$A,"&gt;="&amp;SemesterStart,Sessions!$A:$A,"&lt;="&amp;SemesterEnd))</f>
        <v/>
      </c>
      <c r="F148" s="10">
        <f>IF($B148="","",SUMIFS(Sessions!$F:$F,Sessions!$B:$B,$B148,Sessions!$G:$G,"Waiting",Sessions!$A:$A,"&gt;="&amp;SemesterStart,Sessions!$A:$A,"&lt;="&amp;SemesterEnd))</f>
        <v/>
      </c>
      <c r="G148" s="16">
        <f>IF($B148="","",MIN(1,E148/RequiredHours))</f>
        <v/>
      </c>
      <c r="H148" s="9">
        <f>IF($B148="","",IF(E148&gt;=RequiredHours,"Done","In progress"))</f>
        <v/>
      </c>
      <c r="I148" s="10">
        <f>IF($B148="","",MAX(0,RequiredHours-E148))</f>
        <v/>
      </c>
    </row>
    <row r="149">
      <c r="A149" s="9" t="n"/>
      <c r="B149" s="9" t="n"/>
      <c r="C149" s="9" t="n"/>
      <c r="D149" s="15" t="n"/>
      <c r="E149" s="10">
        <f>IF($B149="","",SUMIFS(Sessions!$I:$I,Sessions!$B:$B,$B149,Sessions!$A:$A,"&gt;="&amp;SemesterStart,Sessions!$A:$A,"&lt;="&amp;SemesterEnd))</f>
        <v/>
      </c>
      <c r="F149" s="10">
        <f>IF($B149="","",SUMIFS(Sessions!$F:$F,Sessions!$B:$B,$B149,Sessions!$G:$G,"Waiting",Sessions!$A:$A,"&gt;="&amp;SemesterStart,Sessions!$A:$A,"&lt;="&amp;SemesterEnd))</f>
        <v/>
      </c>
      <c r="G149" s="16">
        <f>IF($B149="","",MIN(1,E149/RequiredHours))</f>
        <v/>
      </c>
      <c r="H149" s="9">
        <f>IF($B149="","",IF(E149&gt;=RequiredHours,"Done","In progress"))</f>
        <v/>
      </c>
      <c r="I149" s="10">
        <f>IF($B149="","",MAX(0,RequiredHours-E149))</f>
        <v/>
      </c>
    </row>
    <row r="150">
      <c r="A150" s="9" t="n"/>
      <c r="B150" s="9" t="n"/>
      <c r="C150" s="9" t="n"/>
      <c r="D150" s="15" t="n"/>
      <c r="E150" s="10">
        <f>IF($B150="","",SUMIFS(Sessions!$I:$I,Sessions!$B:$B,$B150,Sessions!$A:$A,"&gt;="&amp;SemesterStart,Sessions!$A:$A,"&lt;="&amp;SemesterEnd))</f>
        <v/>
      </c>
      <c r="F150" s="10">
        <f>IF($B150="","",SUMIFS(Sessions!$F:$F,Sessions!$B:$B,$B150,Sessions!$G:$G,"Waiting",Sessions!$A:$A,"&gt;="&amp;SemesterStart,Sessions!$A:$A,"&lt;="&amp;SemesterEnd))</f>
        <v/>
      </c>
      <c r="G150" s="16">
        <f>IF($B150="","",MIN(1,E150/RequiredHours))</f>
        <v/>
      </c>
      <c r="H150" s="9">
        <f>IF($B150="","",IF(E150&gt;=RequiredHours,"Done","In progress"))</f>
        <v/>
      </c>
      <c r="I150" s="10">
        <f>IF($B150="","",MAX(0,RequiredHours-E150))</f>
        <v/>
      </c>
    </row>
    <row r="151">
      <c r="A151" s="9" t="n"/>
      <c r="B151" s="9" t="n"/>
      <c r="C151" s="9" t="n"/>
      <c r="D151" s="15" t="n"/>
      <c r="E151" s="10">
        <f>IF($B151="","",SUMIFS(Sessions!$I:$I,Sessions!$B:$B,$B151,Sessions!$A:$A,"&gt;="&amp;SemesterStart,Sessions!$A:$A,"&lt;="&amp;SemesterEnd))</f>
        <v/>
      </c>
      <c r="F151" s="10">
        <f>IF($B151="","",SUMIFS(Sessions!$F:$F,Sessions!$B:$B,$B151,Sessions!$G:$G,"Waiting",Sessions!$A:$A,"&gt;="&amp;SemesterStart,Sessions!$A:$A,"&lt;="&amp;SemesterEnd))</f>
        <v/>
      </c>
      <c r="G151" s="16">
        <f>IF($B151="","",MIN(1,E151/RequiredHours))</f>
        <v/>
      </c>
      <c r="H151" s="9">
        <f>IF($B151="","",IF(E151&gt;=RequiredHours,"Done","In progress"))</f>
        <v/>
      </c>
      <c r="I151" s="10">
        <f>IF($B151="","",MAX(0,RequiredHours-E151))</f>
        <v/>
      </c>
    </row>
    <row r="152">
      <c r="A152" s="9" t="n"/>
      <c r="B152" s="9" t="n"/>
      <c r="C152" s="9" t="n"/>
      <c r="D152" s="15" t="n"/>
      <c r="E152" s="10">
        <f>IF($B152="","",SUMIFS(Sessions!$I:$I,Sessions!$B:$B,$B152,Sessions!$A:$A,"&gt;="&amp;SemesterStart,Sessions!$A:$A,"&lt;="&amp;SemesterEnd))</f>
        <v/>
      </c>
      <c r="F152" s="10">
        <f>IF($B152="","",SUMIFS(Sessions!$F:$F,Sessions!$B:$B,$B152,Sessions!$G:$G,"Waiting",Sessions!$A:$A,"&gt;="&amp;SemesterStart,Sessions!$A:$A,"&lt;="&amp;SemesterEnd))</f>
        <v/>
      </c>
      <c r="G152" s="16">
        <f>IF($B152="","",MIN(1,E152/RequiredHours))</f>
        <v/>
      </c>
      <c r="H152" s="9">
        <f>IF($B152="","",IF(E152&gt;=RequiredHours,"Done","In progress"))</f>
        <v/>
      </c>
      <c r="I152" s="10">
        <f>IF($B152="","",MAX(0,RequiredHours-E152))</f>
        <v/>
      </c>
    </row>
    <row r="153">
      <c r="A153" s="9" t="n"/>
      <c r="B153" s="9" t="n"/>
      <c r="C153" s="9" t="n"/>
      <c r="D153" s="15" t="n"/>
      <c r="E153" s="10">
        <f>IF($B153="","",SUMIFS(Sessions!$I:$I,Sessions!$B:$B,$B153,Sessions!$A:$A,"&gt;="&amp;SemesterStart,Sessions!$A:$A,"&lt;="&amp;SemesterEnd))</f>
        <v/>
      </c>
      <c r="F153" s="10">
        <f>IF($B153="","",SUMIFS(Sessions!$F:$F,Sessions!$B:$B,$B153,Sessions!$G:$G,"Waiting",Sessions!$A:$A,"&gt;="&amp;SemesterStart,Sessions!$A:$A,"&lt;="&amp;SemesterEnd))</f>
        <v/>
      </c>
      <c r="G153" s="16">
        <f>IF($B153="","",MIN(1,E153/RequiredHours))</f>
        <v/>
      </c>
      <c r="H153" s="9">
        <f>IF($B153="","",IF(E153&gt;=RequiredHours,"Done","In progress"))</f>
        <v/>
      </c>
      <c r="I153" s="10">
        <f>IF($B153="","",MAX(0,RequiredHours-E153))</f>
        <v/>
      </c>
    </row>
    <row r="154">
      <c r="A154" s="9" t="n"/>
      <c r="B154" s="9" t="n"/>
      <c r="C154" s="9" t="n"/>
      <c r="D154" s="15" t="n"/>
      <c r="E154" s="10">
        <f>IF($B154="","",SUMIFS(Sessions!$I:$I,Sessions!$B:$B,$B154,Sessions!$A:$A,"&gt;="&amp;SemesterStart,Sessions!$A:$A,"&lt;="&amp;SemesterEnd))</f>
        <v/>
      </c>
      <c r="F154" s="10">
        <f>IF($B154="","",SUMIFS(Sessions!$F:$F,Sessions!$B:$B,$B154,Sessions!$G:$G,"Waiting",Sessions!$A:$A,"&gt;="&amp;SemesterStart,Sessions!$A:$A,"&lt;="&amp;SemesterEnd))</f>
        <v/>
      </c>
      <c r="G154" s="16">
        <f>IF($B154="","",MIN(1,E154/RequiredHours))</f>
        <v/>
      </c>
      <c r="H154" s="9">
        <f>IF($B154="","",IF(E154&gt;=RequiredHours,"Done","In progress"))</f>
        <v/>
      </c>
      <c r="I154" s="10">
        <f>IF($B154="","",MAX(0,RequiredHours-E154))</f>
        <v/>
      </c>
    </row>
    <row r="155">
      <c r="A155" s="9" t="n"/>
      <c r="B155" s="9" t="n"/>
      <c r="C155" s="9" t="n"/>
      <c r="D155" s="15" t="n"/>
      <c r="E155" s="10">
        <f>IF($B155="","",SUMIFS(Sessions!$I:$I,Sessions!$B:$B,$B155,Sessions!$A:$A,"&gt;="&amp;SemesterStart,Sessions!$A:$A,"&lt;="&amp;SemesterEnd))</f>
        <v/>
      </c>
      <c r="F155" s="10">
        <f>IF($B155="","",SUMIFS(Sessions!$F:$F,Sessions!$B:$B,$B155,Sessions!$G:$G,"Waiting",Sessions!$A:$A,"&gt;="&amp;SemesterStart,Sessions!$A:$A,"&lt;="&amp;SemesterEnd))</f>
        <v/>
      </c>
      <c r="G155" s="16">
        <f>IF($B155="","",MIN(1,E155/RequiredHours))</f>
        <v/>
      </c>
      <c r="H155" s="9">
        <f>IF($B155="","",IF(E155&gt;=RequiredHours,"Done","In progress"))</f>
        <v/>
      </c>
      <c r="I155" s="10">
        <f>IF($B155="","",MAX(0,RequiredHours-E155))</f>
        <v/>
      </c>
    </row>
    <row r="156">
      <c r="A156" s="9" t="n"/>
      <c r="B156" s="9" t="n"/>
      <c r="C156" s="9" t="n"/>
      <c r="D156" s="15" t="n"/>
      <c r="E156" s="10">
        <f>IF($B156="","",SUMIFS(Sessions!$I:$I,Sessions!$B:$B,$B156,Sessions!$A:$A,"&gt;="&amp;SemesterStart,Sessions!$A:$A,"&lt;="&amp;SemesterEnd))</f>
        <v/>
      </c>
      <c r="F156" s="10">
        <f>IF($B156="","",SUMIFS(Sessions!$F:$F,Sessions!$B:$B,$B156,Sessions!$G:$G,"Waiting",Sessions!$A:$A,"&gt;="&amp;SemesterStart,Sessions!$A:$A,"&lt;="&amp;SemesterEnd))</f>
        <v/>
      </c>
      <c r="G156" s="16">
        <f>IF($B156="","",MIN(1,E156/RequiredHours))</f>
        <v/>
      </c>
      <c r="H156" s="9">
        <f>IF($B156="","",IF(E156&gt;=RequiredHours,"Done","In progress"))</f>
        <v/>
      </c>
      <c r="I156" s="10">
        <f>IF($B156="","",MAX(0,RequiredHours-E156))</f>
        <v/>
      </c>
    </row>
    <row r="157">
      <c r="A157" s="9" t="n"/>
      <c r="B157" s="9" t="n"/>
      <c r="C157" s="9" t="n"/>
      <c r="D157" s="15" t="n"/>
      <c r="E157" s="10">
        <f>IF($B157="","",SUMIFS(Sessions!$I:$I,Sessions!$B:$B,$B157,Sessions!$A:$A,"&gt;="&amp;SemesterStart,Sessions!$A:$A,"&lt;="&amp;SemesterEnd))</f>
        <v/>
      </c>
      <c r="F157" s="10">
        <f>IF($B157="","",SUMIFS(Sessions!$F:$F,Sessions!$B:$B,$B157,Sessions!$G:$G,"Waiting",Sessions!$A:$A,"&gt;="&amp;SemesterStart,Sessions!$A:$A,"&lt;="&amp;SemesterEnd))</f>
        <v/>
      </c>
      <c r="G157" s="16">
        <f>IF($B157="","",MIN(1,E157/RequiredHours))</f>
        <v/>
      </c>
      <c r="H157" s="9">
        <f>IF($B157="","",IF(E157&gt;=RequiredHours,"Done","In progress"))</f>
        <v/>
      </c>
      <c r="I157" s="10">
        <f>IF($B157="","",MAX(0,RequiredHours-E157))</f>
        <v/>
      </c>
    </row>
    <row r="158">
      <c r="A158" s="9" t="n"/>
      <c r="B158" s="9" t="n"/>
      <c r="C158" s="9" t="n"/>
      <c r="D158" s="15" t="n"/>
      <c r="E158" s="10">
        <f>IF($B158="","",SUMIFS(Sessions!$I:$I,Sessions!$B:$B,$B158,Sessions!$A:$A,"&gt;="&amp;SemesterStart,Sessions!$A:$A,"&lt;="&amp;SemesterEnd))</f>
        <v/>
      </c>
      <c r="F158" s="10">
        <f>IF($B158="","",SUMIFS(Sessions!$F:$F,Sessions!$B:$B,$B158,Sessions!$G:$G,"Waiting",Sessions!$A:$A,"&gt;="&amp;SemesterStart,Sessions!$A:$A,"&lt;="&amp;SemesterEnd))</f>
        <v/>
      </c>
      <c r="G158" s="16">
        <f>IF($B158="","",MIN(1,E158/RequiredHours))</f>
        <v/>
      </c>
      <c r="H158" s="9">
        <f>IF($B158="","",IF(E158&gt;=RequiredHours,"Done","In progress"))</f>
        <v/>
      </c>
      <c r="I158" s="10">
        <f>IF($B158="","",MAX(0,RequiredHours-E158))</f>
        <v/>
      </c>
    </row>
    <row r="159">
      <c r="A159" s="9" t="n"/>
      <c r="B159" s="9" t="n"/>
      <c r="C159" s="9" t="n"/>
      <c r="D159" s="15" t="n"/>
      <c r="E159" s="10">
        <f>IF($B159="","",SUMIFS(Sessions!$I:$I,Sessions!$B:$B,$B159,Sessions!$A:$A,"&gt;="&amp;SemesterStart,Sessions!$A:$A,"&lt;="&amp;SemesterEnd))</f>
        <v/>
      </c>
      <c r="F159" s="10">
        <f>IF($B159="","",SUMIFS(Sessions!$F:$F,Sessions!$B:$B,$B159,Sessions!$G:$G,"Waiting",Sessions!$A:$A,"&gt;="&amp;SemesterStart,Sessions!$A:$A,"&lt;="&amp;SemesterEnd))</f>
        <v/>
      </c>
      <c r="G159" s="16">
        <f>IF($B159="","",MIN(1,E159/RequiredHours))</f>
        <v/>
      </c>
      <c r="H159" s="9">
        <f>IF($B159="","",IF(E159&gt;=RequiredHours,"Done","In progress"))</f>
        <v/>
      </c>
      <c r="I159" s="10">
        <f>IF($B159="","",MAX(0,RequiredHours-E159))</f>
        <v/>
      </c>
    </row>
    <row r="160">
      <c r="A160" s="9" t="n"/>
      <c r="B160" s="9" t="n"/>
      <c r="C160" s="9" t="n"/>
      <c r="D160" s="15" t="n"/>
      <c r="E160" s="10">
        <f>IF($B160="","",SUMIFS(Sessions!$I:$I,Sessions!$B:$B,$B160,Sessions!$A:$A,"&gt;="&amp;SemesterStart,Sessions!$A:$A,"&lt;="&amp;SemesterEnd))</f>
        <v/>
      </c>
      <c r="F160" s="10">
        <f>IF($B160="","",SUMIFS(Sessions!$F:$F,Sessions!$B:$B,$B160,Sessions!$G:$G,"Waiting",Sessions!$A:$A,"&gt;="&amp;SemesterStart,Sessions!$A:$A,"&lt;="&amp;SemesterEnd))</f>
        <v/>
      </c>
      <c r="G160" s="16">
        <f>IF($B160="","",MIN(1,E160/RequiredHours))</f>
        <v/>
      </c>
      <c r="H160" s="9">
        <f>IF($B160="","",IF(E160&gt;=RequiredHours,"Done","In progress"))</f>
        <v/>
      </c>
      <c r="I160" s="10">
        <f>IF($B160="","",MAX(0,RequiredHours-E160))</f>
        <v/>
      </c>
    </row>
    <row r="161">
      <c r="A161" s="9" t="n"/>
      <c r="B161" s="9" t="n"/>
      <c r="C161" s="9" t="n"/>
      <c r="D161" s="15" t="n"/>
      <c r="E161" s="10">
        <f>IF($B161="","",SUMIFS(Sessions!$I:$I,Sessions!$B:$B,$B161,Sessions!$A:$A,"&gt;="&amp;SemesterStart,Sessions!$A:$A,"&lt;="&amp;SemesterEnd))</f>
        <v/>
      </c>
      <c r="F161" s="10">
        <f>IF($B161="","",SUMIFS(Sessions!$F:$F,Sessions!$B:$B,$B161,Sessions!$G:$G,"Waiting",Sessions!$A:$A,"&gt;="&amp;SemesterStart,Sessions!$A:$A,"&lt;="&amp;SemesterEnd))</f>
        <v/>
      </c>
      <c r="G161" s="16">
        <f>IF($B161="","",MIN(1,E161/RequiredHours))</f>
        <v/>
      </c>
      <c r="H161" s="9">
        <f>IF($B161="","",IF(E161&gt;=RequiredHours,"Done","In progress"))</f>
        <v/>
      </c>
      <c r="I161" s="10">
        <f>IF($B161="","",MAX(0,RequiredHours-E161))</f>
        <v/>
      </c>
    </row>
    <row r="162">
      <c r="A162" s="9" t="n"/>
      <c r="B162" s="9" t="n"/>
      <c r="C162" s="9" t="n"/>
      <c r="D162" s="15" t="n"/>
      <c r="E162" s="10">
        <f>IF($B162="","",SUMIFS(Sessions!$I:$I,Sessions!$B:$B,$B162,Sessions!$A:$A,"&gt;="&amp;SemesterStart,Sessions!$A:$A,"&lt;="&amp;SemesterEnd))</f>
        <v/>
      </c>
      <c r="F162" s="10">
        <f>IF($B162="","",SUMIFS(Sessions!$F:$F,Sessions!$B:$B,$B162,Sessions!$G:$G,"Waiting",Sessions!$A:$A,"&gt;="&amp;SemesterStart,Sessions!$A:$A,"&lt;="&amp;SemesterEnd))</f>
        <v/>
      </c>
      <c r="G162" s="16">
        <f>IF($B162="","",MIN(1,E162/RequiredHours))</f>
        <v/>
      </c>
      <c r="H162" s="9">
        <f>IF($B162="","",IF(E162&gt;=RequiredHours,"Done","In progress"))</f>
        <v/>
      </c>
      <c r="I162" s="10">
        <f>IF($B162="","",MAX(0,RequiredHours-E162))</f>
        <v/>
      </c>
    </row>
    <row r="163">
      <c r="A163" s="9" t="n"/>
      <c r="B163" s="9" t="n"/>
      <c r="C163" s="9" t="n"/>
      <c r="D163" s="15" t="n"/>
      <c r="E163" s="10">
        <f>IF($B163="","",SUMIFS(Sessions!$I:$I,Sessions!$B:$B,$B163,Sessions!$A:$A,"&gt;="&amp;SemesterStart,Sessions!$A:$A,"&lt;="&amp;SemesterEnd))</f>
        <v/>
      </c>
      <c r="F163" s="10">
        <f>IF($B163="","",SUMIFS(Sessions!$F:$F,Sessions!$B:$B,$B163,Sessions!$G:$G,"Waiting",Sessions!$A:$A,"&gt;="&amp;SemesterStart,Sessions!$A:$A,"&lt;="&amp;SemesterEnd))</f>
        <v/>
      </c>
      <c r="G163" s="16">
        <f>IF($B163="","",MIN(1,E163/RequiredHours))</f>
        <v/>
      </c>
      <c r="H163" s="9">
        <f>IF($B163="","",IF(E163&gt;=RequiredHours,"Done","In progress"))</f>
        <v/>
      </c>
      <c r="I163" s="10">
        <f>IF($B163="","",MAX(0,RequiredHours-E163))</f>
        <v/>
      </c>
    </row>
    <row r="164">
      <c r="A164" s="9" t="n"/>
      <c r="B164" s="9" t="n"/>
      <c r="C164" s="9" t="n"/>
      <c r="D164" s="15" t="n"/>
      <c r="E164" s="10">
        <f>IF($B164="","",SUMIFS(Sessions!$I:$I,Sessions!$B:$B,$B164,Sessions!$A:$A,"&gt;="&amp;SemesterStart,Sessions!$A:$A,"&lt;="&amp;SemesterEnd))</f>
        <v/>
      </c>
      <c r="F164" s="10">
        <f>IF($B164="","",SUMIFS(Sessions!$F:$F,Sessions!$B:$B,$B164,Sessions!$G:$G,"Waiting",Sessions!$A:$A,"&gt;="&amp;SemesterStart,Sessions!$A:$A,"&lt;="&amp;SemesterEnd))</f>
        <v/>
      </c>
      <c r="G164" s="16">
        <f>IF($B164="","",MIN(1,E164/RequiredHours))</f>
        <v/>
      </c>
      <c r="H164" s="9">
        <f>IF($B164="","",IF(E164&gt;=RequiredHours,"Done","In progress"))</f>
        <v/>
      </c>
      <c r="I164" s="10">
        <f>IF($B164="","",MAX(0,RequiredHours-E164))</f>
        <v/>
      </c>
    </row>
    <row r="165">
      <c r="A165" s="9" t="n"/>
      <c r="B165" s="9" t="n"/>
      <c r="C165" s="9" t="n"/>
      <c r="D165" s="15" t="n"/>
      <c r="E165" s="10">
        <f>IF($B165="","",SUMIFS(Sessions!$I:$I,Sessions!$B:$B,$B165,Sessions!$A:$A,"&gt;="&amp;SemesterStart,Sessions!$A:$A,"&lt;="&amp;SemesterEnd))</f>
        <v/>
      </c>
      <c r="F165" s="10">
        <f>IF($B165="","",SUMIFS(Sessions!$F:$F,Sessions!$B:$B,$B165,Sessions!$G:$G,"Waiting",Sessions!$A:$A,"&gt;="&amp;SemesterStart,Sessions!$A:$A,"&lt;="&amp;SemesterEnd))</f>
        <v/>
      </c>
      <c r="G165" s="16">
        <f>IF($B165="","",MIN(1,E165/RequiredHours))</f>
        <v/>
      </c>
      <c r="H165" s="9">
        <f>IF($B165="","",IF(E165&gt;=RequiredHours,"Done","In progress"))</f>
        <v/>
      </c>
      <c r="I165" s="10">
        <f>IF($B165="","",MAX(0,RequiredHours-E165))</f>
        <v/>
      </c>
    </row>
    <row r="166">
      <c r="A166" s="9" t="n"/>
      <c r="B166" s="9" t="n"/>
      <c r="C166" s="9" t="n"/>
      <c r="D166" s="15" t="n"/>
      <c r="E166" s="10">
        <f>IF($B166="","",SUMIFS(Sessions!$I:$I,Sessions!$B:$B,$B166,Sessions!$A:$A,"&gt;="&amp;SemesterStart,Sessions!$A:$A,"&lt;="&amp;SemesterEnd))</f>
        <v/>
      </c>
      <c r="F166" s="10">
        <f>IF($B166="","",SUMIFS(Sessions!$F:$F,Sessions!$B:$B,$B166,Sessions!$G:$G,"Waiting",Sessions!$A:$A,"&gt;="&amp;SemesterStart,Sessions!$A:$A,"&lt;="&amp;SemesterEnd))</f>
        <v/>
      </c>
      <c r="G166" s="16">
        <f>IF($B166="","",MIN(1,E166/RequiredHours))</f>
        <v/>
      </c>
      <c r="H166" s="9">
        <f>IF($B166="","",IF(E166&gt;=RequiredHours,"Done","In progress"))</f>
        <v/>
      </c>
      <c r="I166" s="10">
        <f>IF($B166="","",MAX(0,RequiredHours-E166))</f>
        <v/>
      </c>
    </row>
    <row r="167">
      <c r="A167" s="9" t="n"/>
      <c r="B167" s="9" t="n"/>
      <c r="C167" s="9" t="n"/>
      <c r="D167" s="15" t="n"/>
      <c r="E167" s="10">
        <f>IF($B167="","",SUMIFS(Sessions!$I:$I,Sessions!$B:$B,$B167,Sessions!$A:$A,"&gt;="&amp;SemesterStart,Sessions!$A:$A,"&lt;="&amp;SemesterEnd))</f>
        <v/>
      </c>
      <c r="F167" s="10">
        <f>IF($B167="","",SUMIFS(Sessions!$F:$F,Sessions!$B:$B,$B167,Sessions!$G:$G,"Waiting",Sessions!$A:$A,"&gt;="&amp;SemesterStart,Sessions!$A:$A,"&lt;="&amp;SemesterEnd))</f>
        <v/>
      </c>
      <c r="G167" s="16">
        <f>IF($B167="","",MIN(1,E167/RequiredHours))</f>
        <v/>
      </c>
      <c r="H167" s="9">
        <f>IF($B167="","",IF(E167&gt;=RequiredHours,"Done","In progress"))</f>
        <v/>
      </c>
      <c r="I167" s="10">
        <f>IF($B167="","",MAX(0,RequiredHours-E167))</f>
        <v/>
      </c>
    </row>
    <row r="168">
      <c r="A168" s="9" t="n"/>
      <c r="B168" s="9" t="n"/>
      <c r="C168" s="9" t="n"/>
      <c r="D168" s="15" t="n"/>
      <c r="E168" s="10">
        <f>IF($B168="","",SUMIFS(Sessions!$I:$I,Sessions!$B:$B,$B168,Sessions!$A:$A,"&gt;="&amp;SemesterStart,Sessions!$A:$A,"&lt;="&amp;SemesterEnd))</f>
        <v/>
      </c>
      <c r="F168" s="10">
        <f>IF($B168="","",SUMIFS(Sessions!$F:$F,Sessions!$B:$B,$B168,Sessions!$G:$G,"Waiting",Sessions!$A:$A,"&gt;="&amp;SemesterStart,Sessions!$A:$A,"&lt;="&amp;SemesterEnd))</f>
        <v/>
      </c>
      <c r="G168" s="16">
        <f>IF($B168="","",MIN(1,E168/RequiredHours))</f>
        <v/>
      </c>
      <c r="H168" s="9">
        <f>IF($B168="","",IF(E168&gt;=RequiredHours,"Done","In progress"))</f>
        <v/>
      </c>
      <c r="I168" s="10">
        <f>IF($B168="","",MAX(0,RequiredHours-E168))</f>
        <v/>
      </c>
    </row>
    <row r="169">
      <c r="A169" s="9" t="n"/>
      <c r="B169" s="9" t="n"/>
      <c r="C169" s="9" t="n"/>
      <c r="D169" s="15" t="n"/>
      <c r="E169" s="10">
        <f>IF($B169="","",SUMIFS(Sessions!$I:$I,Sessions!$B:$B,$B169,Sessions!$A:$A,"&gt;="&amp;SemesterStart,Sessions!$A:$A,"&lt;="&amp;SemesterEnd))</f>
        <v/>
      </c>
      <c r="F169" s="10">
        <f>IF($B169="","",SUMIFS(Sessions!$F:$F,Sessions!$B:$B,$B169,Sessions!$G:$G,"Waiting",Sessions!$A:$A,"&gt;="&amp;SemesterStart,Sessions!$A:$A,"&lt;="&amp;SemesterEnd))</f>
        <v/>
      </c>
      <c r="G169" s="16">
        <f>IF($B169="","",MIN(1,E169/RequiredHours))</f>
        <v/>
      </c>
      <c r="H169" s="9">
        <f>IF($B169="","",IF(E169&gt;=RequiredHours,"Done","In progress"))</f>
        <v/>
      </c>
      <c r="I169" s="10">
        <f>IF($B169="","",MAX(0,RequiredHours-E169))</f>
        <v/>
      </c>
    </row>
    <row r="170">
      <c r="A170" s="9" t="n"/>
      <c r="B170" s="9" t="n"/>
      <c r="C170" s="9" t="n"/>
      <c r="D170" s="15" t="n"/>
      <c r="E170" s="10">
        <f>IF($B170="","",SUMIFS(Sessions!$I:$I,Sessions!$B:$B,$B170,Sessions!$A:$A,"&gt;="&amp;SemesterStart,Sessions!$A:$A,"&lt;="&amp;SemesterEnd))</f>
        <v/>
      </c>
      <c r="F170" s="10">
        <f>IF($B170="","",SUMIFS(Sessions!$F:$F,Sessions!$B:$B,$B170,Sessions!$G:$G,"Waiting",Sessions!$A:$A,"&gt;="&amp;SemesterStart,Sessions!$A:$A,"&lt;="&amp;SemesterEnd))</f>
        <v/>
      </c>
      <c r="G170" s="16">
        <f>IF($B170="","",MIN(1,E170/RequiredHours))</f>
        <v/>
      </c>
      <c r="H170" s="9">
        <f>IF($B170="","",IF(E170&gt;=RequiredHours,"Done","In progress"))</f>
        <v/>
      </c>
      <c r="I170" s="10">
        <f>IF($B170="","",MAX(0,RequiredHours-E170))</f>
        <v/>
      </c>
    </row>
    <row r="171">
      <c r="A171" s="9" t="n"/>
      <c r="B171" s="9" t="n"/>
      <c r="C171" s="9" t="n"/>
      <c r="D171" s="15" t="n"/>
      <c r="E171" s="10">
        <f>IF($B171="","",SUMIFS(Sessions!$I:$I,Sessions!$B:$B,$B171,Sessions!$A:$A,"&gt;="&amp;SemesterStart,Sessions!$A:$A,"&lt;="&amp;SemesterEnd))</f>
        <v/>
      </c>
      <c r="F171" s="10">
        <f>IF($B171="","",SUMIFS(Sessions!$F:$F,Sessions!$B:$B,$B171,Sessions!$G:$G,"Waiting",Sessions!$A:$A,"&gt;="&amp;SemesterStart,Sessions!$A:$A,"&lt;="&amp;SemesterEnd))</f>
        <v/>
      </c>
      <c r="G171" s="16">
        <f>IF($B171="","",MIN(1,E171/RequiredHours))</f>
        <v/>
      </c>
      <c r="H171" s="9">
        <f>IF($B171="","",IF(E171&gt;=RequiredHours,"Done","In progress"))</f>
        <v/>
      </c>
      <c r="I171" s="10">
        <f>IF($B171="","",MAX(0,RequiredHours-E171))</f>
        <v/>
      </c>
    </row>
    <row r="172">
      <c r="A172" s="9" t="n"/>
      <c r="B172" s="9" t="n"/>
      <c r="C172" s="9" t="n"/>
      <c r="D172" s="15" t="n"/>
      <c r="E172" s="10">
        <f>IF($B172="","",SUMIFS(Sessions!$I:$I,Sessions!$B:$B,$B172,Sessions!$A:$A,"&gt;="&amp;SemesterStart,Sessions!$A:$A,"&lt;="&amp;SemesterEnd))</f>
        <v/>
      </c>
      <c r="F172" s="10">
        <f>IF($B172="","",SUMIFS(Sessions!$F:$F,Sessions!$B:$B,$B172,Sessions!$G:$G,"Waiting",Sessions!$A:$A,"&gt;="&amp;SemesterStart,Sessions!$A:$A,"&lt;="&amp;SemesterEnd))</f>
        <v/>
      </c>
      <c r="G172" s="16">
        <f>IF($B172="","",MIN(1,E172/RequiredHours))</f>
        <v/>
      </c>
      <c r="H172" s="9">
        <f>IF($B172="","",IF(E172&gt;=RequiredHours,"Done","In progress"))</f>
        <v/>
      </c>
      <c r="I172" s="10">
        <f>IF($B172="","",MAX(0,RequiredHours-E172))</f>
        <v/>
      </c>
    </row>
    <row r="173">
      <c r="A173" s="9" t="n"/>
      <c r="B173" s="9" t="n"/>
      <c r="C173" s="9" t="n"/>
      <c r="D173" s="15" t="n"/>
      <c r="E173" s="10">
        <f>IF($B173="","",SUMIFS(Sessions!$I:$I,Sessions!$B:$B,$B173,Sessions!$A:$A,"&gt;="&amp;SemesterStart,Sessions!$A:$A,"&lt;="&amp;SemesterEnd))</f>
        <v/>
      </c>
      <c r="F173" s="10">
        <f>IF($B173="","",SUMIFS(Sessions!$F:$F,Sessions!$B:$B,$B173,Sessions!$G:$G,"Waiting",Sessions!$A:$A,"&gt;="&amp;SemesterStart,Sessions!$A:$A,"&lt;="&amp;SemesterEnd))</f>
        <v/>
      </c>
      <c r="G173" s="16">
        <f>IF($B173="","",MIN(1,E173/RequiredHours))</f>
        <v/>
      </c>
      <c r="H173" s="9">
        <f>IF($B173="","",IF(E173&gt;=RequiredHours,"Done","In progress"))</f>
        <v/>
      </c>
      <c r="I173" s="10">
        <f>IF($B173="","",MAX(0,RequiredHours-E173))</f>
        <v/>
      </c>
    </row>
    <row r="174">
      <c r="A174" s="9" t="n"/>
      <c r="B174" s="9" t="n"/>
      <c r="C174" s="9" t="n"/>
      <c r="D174" s="15" t="n"/>
      <c r="E174" s="10">
        <f>IF($B174="","",SUMIFS(Sessions!$I:$I,Sessions!$B:$B,$B174,Sessions!$A:$A,"&gt;="&amp;SemesterStart,Sessions!$A:$A,"&lt;="&amp;SemesterEnd))</f>
        <v/>
      </c>
      <c r="F174" s="10">
        <f>IF($B174="","",SUMIFS(Sessions!$F:$F,Sessions!$B:$B,$B174,Sessions!$G:$G,"Waiting",Sessions!$A:$A,"&gt;="&amp;SemesterStart,Sessions!$A:$A,"&lt;="&amp;SemesterEnd))</f>
        <v/>
      </c>
      <c r="G174" s="16">
        <f>IF($B174="","",MIN(1,E174/RequiredHours))</f>
        <v/>
      </c>
      <c r="H174" s="9">
        <f>IF($B174="","",IF(E174&gt;=RequiredHours,"Done","In progress"))</f>
        <v/>
      </c>
      <c r="I174" s="10">
        <f>IF($B174="","",MAX(0,RequiredHours-E174))</f>
        <v/>
      </c>
    </row>
    <row r="175">
      <c r="A175" s="9" t="n"/>
      <c r="B175" s="9" t="n"/>
      <c r="C175" s="9" t="n"/>
      <c r="D175" s="15" t="n"/>
      <c r="E175" s="10">
        <f>IF($B175="","",SUMIFS(Sessions!$I:$I,Sessions!$B:$B,$B175,Sessions!$A:$A,"&gt;="&amp;SemesterStart,Sessions!$A:$A,"&lt;="&amp;SemesterEnd))</f>
        <v/>
      </c>
      <c r="F175" s="10">
        <f>IF($B175="","",SUMIFS(Sessions!$F:$F,Sessions!$B:$B,$B175,Sessions!$G:$G,"Waiting",Sessions!$A:$A,"&gt;="&amp;SemesterStart,Sessions!$A:$A,"&lt;="&amp;SemesterEnd))</f>
        <v/>
      </c>
      <c r="G175" s="16">
        <f>IF($B175="","",MIN(1,E175/RequiredHours))</f>
        <v/>
      </c>
      <c r="H175" s="9">
        <f>IF($B175="","",IF(E175&gt;=RequiredHours,"Done","In progress"))</f>
        <v/>
      </c>
      <c r="I175" s="10">
        <f>IF($B175="","",MAX(0,RequiredHours-E175))</f>
        <v/>
      </c>
    </row>
    <row r="176">
      <c r="A176" s="9" t="n"/>
      <c r="B176" s="9" t="n"/>
      <c r="C176" s="9" t="n"/>
      <c r="D176" s="15" t="n"/>
      <c r="E176" s="10">
        <f>IF($B176="","",SUMIFS(Sessions!$I:$I,Sessions!$B:$B,$B176,Sessions!$A:$A,"&gt;="&amp;SemesterStart,Sessions!$A:$A,"&lt;="&amp;SemesterEnd))</f>
        <v/>
      </c>
      <c r="F176" s="10">
        <f>IF($B176="","",SUMIFS(Sessions!$F:$F,Sessions!$B:$B,$B176,Sessions!$G:$G,"Waiting",Sessions!$A:$A,"&gt;="&amp;SemesterStart,Sessions!$A:$A,"&lt;="&amp;SemesterEnd))</f>
        <v/>
      </c>
      <c r="G176" s="16">
        <f>IF($B176="","",MIN(1,E176/RequiredHours))</f>
        <v/>
      </c>
      <c r="H176" s="9">
        <f>IF($B176="","",IF(E176&gt;=RequiredHours,"Done","In progress"))</f>
        <v/>
      </c>
      <c r="I176" s="10">
        <f>IF($B176="","",MAX(0,RequiredHours-E176))</f>
        <v/>
      </c>
    </row>
    <row r="177">
      <c r="A177" s="9" t="n"/>
      <c r="B177" s="9" t="n"/>
      <c r="C177" s="9" t="n"/>
      <c r="D177" s="15" t="n"/>
      <c r="E177" s="10">
        <f>IF($B177="","",SUMIFS(Sessions!$I:$I,Sessions!$B:$B,$B177,Sessions!$A:$A,"&gt;="&amp;SemesterStart,Sessions!$A:$A,"&lt;="&amp;SemesterEnd))</f>
        <v/>
      </c>
      <c r="F177" s="10">
        <f>IF($B177="","",SUMIFS(Sessions!$F:$F,Sessions!$B:$B,$B177,Sessions!$G:$G,"Waiting",Sessions!$A:$A,"&gt;="&amp;SemesterStart,Sessions!$A:$A,"&lt;="&amp;SemesterEnd))</f>
        <v/>
      </c>
      <c r="G177" s="16">
        <f>IF($B177="","",MIN(1,E177/RequiredHours))</f>
        <v/>
      </c>
      <c r="H177" s="9">
        <f>IF($B177="","",IF(E177&gt;=RequiredHours,"Done","In progress"))</f>
        <v/>
      </c>
      <c r="I177" s="10">
        <f>IF($B177="","",MAX(0,RequiredHours-E177))</f>
        <v/>
      </c>
    </row>
    <row r="178">
      <c r="A178" s="9" t="n"/>
      <c r="B178" s="9" t="n"/>
      <c r="C178" s="9" t="n"/>
      <c r="D178" s="15" t="n"/>
      <c r="E178" s="10">
        <f>IF($B178="","",SUMIFS(Sessions!$I:$I,Sessions!$B:$B,$B178,Sessions!$A:$A,"&gt;="&amp;SemesterStart,Sessions!$A:$A,"&lt;="&amp;SemesterEnd))</f>
        <v/>
      </c>
      <c r="F178" s="10">
        <f>IF($B178="","",SUMIFS(Sessions!$F:$F,Sessions!$B:$B,$B178,Sessions!$G:$G,"Waiting",Sessions!$A:$A,"&gt;="&amp;SemesterStart,Sessions!$A:$A,"&lt;="&amp;SemesterEnd))</f>
        <v/>
      </c>
      <c r="G178" s="16">
        <f>IF($B178="","",MIN(1,E178/RequiredHours))</f>
        <v/>
      </c>
      <c r="H178" s="9">
        <f>IF($B178="","",IF(E178&gt;=RequiredHours,"Done","In progress"))</f>
        <v/>
      </c>
      <c r="I178" s="10">
        <f>IF($B178="","",MAX(0,RequiredHours-E178))</f>
        <v/>
      </c>
    </row>
    <row r="179">
      <c r="A179" s="9" t="n"/>
      <c r="B179" s="9" t="n"/>
      <c r="C179" s="9" t="n"/>
      <c r="D179" s="15" t="n"/>
      <c r="E179" s="10">
        <f>IF($B179="","",SUMIFS(Sessions!$I:$I,Sessions!$B:$B,$B179,Sessions!$A:$A,"&gt;="&amp;SemesterStart,Sessions!$A:$A,"&lt;="&amp;SemesterEnd))</f>
        <v/>
      </c>
      <c r="F179" s="10">
        <f>IF($B179="","",SUMIFS(Sessions!$F:$F,Sessions!$B:$B,$B179,Sessions!$G:$G,"Waiting",Sessions!$A:$A,"&gt;="&amp;SemesterStart,Sessions!$A:$A,"&lt;="&amp;SemesterEnd))</f>
        <v/>
      </c>
      <c r="G179" s="16">
        <f>IF($B179="","",MIN(1,E179/RequiredHours))</f>
        <v/>
      </c>
      <c r="H179" s="9">
        <f>IF($B179="","",IF(E179&gt;=RequiredHours,"Done","In progress"))</f>
        <v/>
      </c>
      <c r="I179" s="10">
        <f>IF($B179="","",MAX(0,RequiredHours-E179))</f>
        <v/>
      </c>
    </row>
    <row r="180">
      <c r="A180" s="9" t="n"/>
      <c r="B180" s="9" t="n"/>
      <c r="C180" s="9" t="n"/>
      <c r="D180" s="15" t="n"/>
      <c r="E180" s="10">
        <f>IF($B180="","",SUMIFS(Sessions!$I:$I,Sessions!$B:$B,$B180,Sessions!$A:$A,"&gt;="&amp;SemesterStart,Sessions!$A:$A,"&lt;="&amp;SemesterEnd))</f>
        <v/>
      </c>
      <c r="F180" s="10">
        <f>IF($B180="","",SUMIFS(Sessions!$F:$F,Sessions!$B:$B,$B180,Sessions!$G:$G,"Waiting",Sessions!$A:$A,"&gt;="&amp;SemesterStart,Sessions!$A:$A,"&lt;="&amp;SemesterEnd))</f>
        <v/>
      </c>
      <c r="G180" s="16">
        <f>IF($B180="","",MIN(1,E180/RequiredHours))</f>
        <v/>
      </c>
      <c r="H180" s="9">
        <f>IF($B180="","",IF(E180&gt;=RequiredHours,"Done","In progress"))</f>
        <v/>
      </c>
      <c r="I180" s="10">
        <f>IF($B180="","",MAX(0,RequiredHours-E180))</f>
        <v/>
      </c>
    </row>
    <row r="181">
      <c r="A181" s="9" t="n"/>
      <c r="B181" s="9" t="n"/>
      <c r="C181" s="9" t="n"/>
      <c r="D181" s="15" t="n"/>
      <c r="E181" s="10">
        <f>IF($B181="","",SUMIFS(Sessions!$I:$I,Sessions!$B:$B,$B181,Sessions!$A:$A,"&gt;="&amp;SemesterStart,Sessions!$A:$A,"&lt;="&amp;SemesterEnd))</f>
        <v/>
      </c>
      <c r="F181" s="10">
        <f>IF($B181="","",SUMIFS(Sessions!$F:$F,Sessions!$B:$B,$B181,Sessions!$G:$G,"Waiting",Sessions!$A:$A,"&gt;="&amp;SemesterStart,Sessions!$A:$A,"&lt;="&amp;SemesterEnd))</f>
        <v/>
      </c>
      <c r="G181" s="16">
        <f>IF($B181="","",MIN(1,E181/RequiredHours))</f>
        <v/>
      </c>
      <c r="H181" s="9">
        <f>IF($B181="","",IF(E181&gt;=RequiredHours,"Done","In progress"))</f>
        <v/>
      </c>
      <c r="I181" s="10">
        <f>IF($B181="","",MAX(0,RequiredHours-E181))</f>
        <v/>
      </c>
    </row>
    <row r="182">
      <c r="A182" s="9" t="n"/>
      <c r="B182" s="9" t="n"/>
      <c r="C182" s="9" t="n"/>
      <c r="D182" s="15" t="n"/>
      <c r="E182" s="10">
        <f>IF($B182="","",SUMIFS(Sessions!$I:$I,Sessions!$B:$B,$B182,Sessions!$A:$A,"&gt;="&amp;SemesterStart,Sessions!$A:$A,"&lt;="&amp;SemesterEnd))</f>
        <v/>
      </c>
      <c r="F182" s="10">
        <f>IF($B182="","",SUMIFS(Sessions!$F:$F,Sessions!$B:$B,$B182,Sessions!$G:$G,"Waiting",Sessions!$A:$A,"&gt;="&amp;SemesterStart,Sessions!$A:$A,"&lt;="&amp;SemesterEnd))</f>
        <v/>
      </c>
      <c r="G182" s="16">
        <f>IF($B182="","",MIN(1,E182/RequiredHours))</f>
        <v/>
      </c>
      <c r="H182" s="9">
        <f>IF($B182="","",IF(E182&gt;=RequiredHours,"Done","In progress"))</f>
        <v/>
      </c>
      <c r="I182" s="10">
        <f>IF($B182="","",MAX(0,RequiredHours-E182))</f>
        <v/>
      </c>
    </row>
    <row r="183">
      <c r="A183" s="9" t="n"/>
      <c r="B183" s="9" t="n"/>
      <c r="C183" s="9" t="n"/>
      <c r="D183" s="15" t="n"/>
      <c r="E183" s="10">
        <f>IF($B183="","",SUMIFS(Sessions!$I:$I,Sessions!$B:$B,$B183,Sessions!$A:$A,"&gt;="&amp;SemesterStart,Sessions!$A:$A,"&lt;="&amp;SemesterEnd))</f>
        <v/>
      </c>
      <c r="F183" s="10">
        <f>IF($B183="","",SUMIFS(Sessions!$F:$F,Sessions!$B:$B,$B183,Sessions!$G:$G,"Waiting",Sessions!$A:$A,"&gt;="&amp;SemesterStart,Sessions!$A:$A,"&lt;="&amp;SemesterEnd))</f>
        <v/>
      </c>
      <c r="G183" s="16">
        <f>IF($B183="","",MIN(1,E183/RequiredHours))</f>
        <v/>
      </c>
      <c r="H183" s="9">
        <f>IF($B183="","",IF(E183&gt;=RequiredHours,"Done","In progress"))</f>
        <v/>
      </c>
      <c r="I183" s="10">
        <f>IF($B183="","",MAX(0,RequiredHours-E183))</f>
        <v/>
      </c>
    </row>
    <row r="184">
      <c r="A184" s="9" t="n"/>
      <c r="B184" s="9" t="n"/>
      <c r="C184" s="9" t="n"/>
      <c r="D184" s="15" t="n"/>
      <c r="E184" s="10">
        <f>IF($B184="","",SUMIFS(Sessions!$I:$I,Sessions!$B:$B,$B184,Sessions!$A:$A,"&gt;="&amp;SemesterStart,Sessions!$A:$A,"&lt;="&amp;SemesterEnd))</f>
        <v/>
      </c>
      <c r="F184" s="10">
        <f>IF($B184="","",SUMIFS(Sessions!$F:$F,Sessions!$B:$B,$B184,Sessions!$G:$G,"Waiting",Sessions!$A:$A,"&gt;="&amp;SemesterStart,Sessions!$A:$A,"&lt;="&amp;SemesterEnd))</f>
        <v/>
      </c>
      <c r="G184" s="16">
        <f>IF($B184="","",MIN(1,E184/RequiredHours))</f>
        <v/>
      </c>
      <c r="H184" s="9">
        <f>IF($B184="","",IF(E184&gt;=RequiredHours,"Done","In progress"))</f>
        <v/>
      </c>
      <c r="I184" s="10">
        <f>IF($B184="","",MAX(0,RequiredHours-E184))</f>
        <v/>
      </c>
    </row>
    <row r="185">
      <c r="A185" s="9" t="n"/>
      <c r="B185" s="9" t="n"/>
      <c r="C185" s="9" t="n"/>
      <c r="D185" s="15" t="n"/>
      <c r="E185" s="10">
        <f>IF($B185="","",SUMIFS(Sessions!$I:$I,Sessions!$B:$B,$B185,Sessions!$A:$A,"&gt;="&amp;SemesterStart,Sessions!$A:$A,"&lt;="&amp;SemesterEnd))</f>
        <v/>
      </c>
      <c r="F185" s="10">
        <f>IF($B185="","",SUMIFS(Sessions!$F:$F,Sessions!$B:$B,$B185,Sessions!$G:$G,"Waiting",Sessions!$A:$A,"&gt;="&amp;SemesterStart,Sessions!$A:$A,"&lt;="&amp;SemesterEnd))</f>
        <v/>
      </c>
      <c r="G185" s="16">
        <f>IF($B185="","",MIN(1,E185/RequiredHours))</f>
        <v/>
      </c>
      <c r="H185" s="9">
        <f>IF($B185="","",IF(E185&gt;=RequiredHours,"Done","In progress"))</f>
        <v/>
      </c>
      <c r="I185" s="10">
        <f>IF($B185="","",MAX(0,RequiredHours-E185))</f>
        <v/>
      </c>
    </row>
    <row r="186">
      <c r="A186" s="9" t="n"/>
      <c r="B186" s="9" t="n"/>
      <c r="C186" s="9" t="n"/>
      <c r="D186" s="15" t="n"/>
      <c r="E186" s="10">
        <f>IF($B186="","",SUMIFS(Sessions!$I:$I,Sessions!$B:$B,$B186,Sessions!$A:$A,"&gt;="&amp;SemesterStart,Sessions!$A:$A,"&lt;="&amp;SemesterEnd))</f>
        <v/>
      </c>
      <c r="F186" s="10">
        <f>IF($B186="","",SUMIFS(Sessions!$F:$F,Sessions!$B:$B,$B186,Sessions!$G:$G,"Waiting",Sessions!$A:$A,"&gt;="&amp;SemesterStart,Sessions!$A:$A,"&lt;="&amp;SemesterEnd))</f>
        <v/>
      </c>
      <c r="G186" s="16">
        <f>IF($B186="","",MIN(1,E186/RequiredHours))</f>
        <v/>
      </c>
      <c r="H186" s="9">
        <f>IF($B186="","",IF(E186&gt;=RequiredHours,"Done","In progress"))</f>
        <v/>
      </c>
      <c r="I186" s="10">
        <f>IF($B186="","",MAX(0,RequiredHours-E186))</f>
        <v/>
      </c>
    </row>
    <row r="187">
      <c r="A187" s="9" t="n"/>
      <c r="B187" s="9" t="n"/>
      <c r="C187" s="9" t="n"/>
      <c r="D187" s="15" t="n"/>
      <c r="E187" s="10">
        <f>IF($B187="","",SUMIFS(Sessions!$I:$I,Sessions!$B:$B,$B187,Sessions!$A:$A,"&gt;="&amp;SemesterStart,Sessions!$A:$A,"&lt;="&amp;SemesterEnd))</f>
        <v/>
      </c>
      <c r="F187" s="10">
        <f>IF($B187="","",SUMIFS(Sessions!$F:$F,Sessions!$B:$B,$B187,Sessions!$G:$G,"Waiting",Sessions!$A:$A,"&gt;="&amp;SemesterStart,Sessions!$A:$A,"&lt;="&amp;SemesterEnd))</f>
        <v/>
      </c>
      <c r="G187" s="16">
        <f>IF($B187="","",MIN(1,E187/RequiredHours))</f>
        <v/>
      </c>
      <c r="H187" s="9">
        <f>IF($B187="","",IF(E187&gt;=RequiredHours,"Done","In progress"))</f>
        <v/>
      </c>
      <c r="I187" s="10">
        <f>IF($B187="","",MAX(0,RequiredHours-E187))</f>
        <v/>
      </c>
    </row>
    <row r="188">
      <c r="A188" s="9" t="n"/>
      <c r="B188" s="9" t="n"/>
      <c r="C188" s="9" t="n"/>
      <c r="D188" s="15" t="n"/>
      <c r="E188" s="10">
        <f>IF($B188="","",SUMIFS(Sessions!$I:$I,Sessions!$B:$B,$B188,Sessions!$A:$A,"&gt;="&amp;SemesterStart,Sessions!$A:$A,"&lt;="&amp;SemesterEnd))</f>
        <v/>
      </c>
      <c r="F188" s="10">
        <f>IF($B188="","",SUMIFS(Sessions!$F:$F,Sessions!$B:$B,$B188,Sessions!$G:$G,"Waiting",Sessions!$A:$A,"&gt;="&amp;SemesterStart,Sessions!$A:$A,"&lt;="&amp;SemesterEnd))</f>
        <v/>
      </c>
      <c r="G188" s="16">
        <f>IF($B188="","",MIN(1,E188/RequiredHours))</f>
        <v/>
      </c>
      <c r="H188" s="9">
        <f>IF($B188="","",IF(E188&gt;=RequiredHours,"Done","In progress"))</f>
        <v/>
      </c>
      <c r="I188" s="10">
        <f>IF($B188="","",MAX(0,RequiredHours-E188))</f>
        <v/>
      </c>
    </row>
    <row r="189">
      <c r="A189" s="9" t="n"/>
      <c r="B189" s="9" t="n"/>
      <c r="C189" s="9" t="n"/>
      <c r="D189" s="15" t="n"/>
      <c r="E189" s="10">
        <f>IF($B189="","",SUMIFS(Sessions!$I:$I,Sessions!$B:$B,$B189,Sessions!$A:$A,"&gt;="&amp;SemesterStart,Sessions!$A:$A,"&lt;="&amp;SemesterEnd))</f>
        <v/>
      </c>
      <c r="F189" s="10">
        <f>IF($B189="","",SUMIFS(Sessions!$F:$F,Sessions!$B:$B,$B189,Sessions!$G:$G,"Waiting",Sessions!$A:$A,"&gt;="&amp;SemesterStart,Sessions!$A:$A,"&lt;="&amp;SemesterEnd))</f>
        <v/>
      </c>
      <c r="G189" s="16">
        <f>IF($B189="","",MIN(1,E189/RequiredHours))</f>
        <v/>
      </c>
      <c r="H189" s="9">
        <f>IF($B189="","",IF(E189&gt;=RequiredHours,"Done","In progress"))</f>
        <v/>
      </c>
      <c r="I189" s="10">
        <f>IF($B189="","",MAX(0,RequiredHours-E189))</f>
        <v/>
      </c>
    </row>
    <row r="190">
      <c r="A190" s="9" t="n"/>
      <c r="B190" s="9" t="n"/>
      <c r="C190" s="9" t="n"/>
      <c r="D190" s="15" t="n"/>
      <c r="E190" s="10">
        <f>IF($B190="","",SUMIFS(Sessions!$I:$I,Sessions!$B:$B,$B190,Sessions!$A:$A,"&gt;="&amp;SemesterStart,Sessions!$A:$A,"&lt;="&amp;SemesterEnd))</f>
        <v/>
      </c>
      <c r="F190" s="10">
        <f>IF($B190="","",SUMIFS(Sessions!$F:$F,Sessions!$B:$B,$B190,Sessions!$G:$G,"Waiting",Sessions!$A:$A,"&gt;="&amp;SemesterStart,Sessions!$A:$A,"&lt;="&amp;SemesterEnd))</f>
        <v/>
      </c>
      <c r="G190" s="16">
        <f>IF($B190="","",MIN(1,E190/RequiredHours))</f>
        <v/>
      </c>
      <c r="H190" s="9">
        <f>IF($B190="","",IF(E190&gt;=RequiredHours,"Done","In progress"))</f>
        <v/>
      </c>
      <c r="I190" s="10">
        <f>IF($B190="","",MAX(0,RequiredHours-E190))</f>
        <v/>
      </c>
    </row>
    <row r="191">
      <c r="A191" s="9" t="n"/>
      <c r="B191" s="9" t="n"/>
      <c r="C191" s="9" t="n"/>
      <c r="D191" s="15" t="n"/>
      <c r="E191" s="10">
        <f>IF($B191="","",SUMIFS(Sessions!$I:$I,Sessions!$B:$B,$B191,Sessions!$A:$A,"&gt;="&amp;SemesterStart,Sessions!$A:$A,"&lt;="&amp;SemesterEnd))</f>
        <v/>
      </c>
      <c r="F191" s="10">
        <f>IF($B191="","",SUMIFS(Sessions!$F:$F,Sessions!$B:$B,$B191,Sessions!$G:$G,"Waiting",Sessions!$A:$A,"&gt;="&amp;SemesterStart,Sessions!$A:$A,"&lt;="&amp;SemesterEnd))</f>
        <v/>
      </c>
      <c r="G191" s="16">
        <f>IF($B191="","",MIN(1,E191/RequiredHours))</f>
        <v/>
      </c>
      <c r="H191" s="9">
        <f>IF($B191="","",IF(E191&gt;=RequiredHours,"Done","In progress"))</f>
        <v/>
      </c>
      <c r="I191" s="10">
        <f>IF($B191="","",MAX(0,RequiredHours-E191))</f>
        <v/>
      </c>
    </row>
    <row r="192">
      <c r="A192" s="9" t="n"/>
      <c r="B192" s="9" t="n"/>
      <c r="C192" s="9" t="n"/>
      <c r="D192" s="15" t="n"/>
      <c r="E192" s="10">
        <f>IF($B192="","",SUMIFS(Sessions!$I:$I,Sessions!$B:$B,$B192,Sessions!$A:$A,"&gt;="&amp;SemesterStart,Sessions!$A:$A,"&lt;="&amp;SemesterEnd))</f>
        <v/>
      </c>
      <c r="F192" s="10">
        <f>IF($B192="","",SUMIFS(Sessions!$F:$F,Sessions!$B:$B,$B192,Sessions!$G:$G,"Waiting",Sessions!$A:$A,"&gt;="&amp;SemesterStart,Sessions!$A:$A,"&lt;="&amp;SemesterEnd))</f>
        <v/>
      </c>
      <c r="G192" s="16">
        <f>IF($B192="","",MIN(1,E192/RequiredHours))</f>
        <v/>
      </c>
      <c r="H192" s="9">
        <f>IF($B192="","",IF(E192&gt;=RequiredHours,"Done","In progress"))</f>
        <v/>
      </c>
      <c r="I192" s="10">
        <f>IF($B192="","",MAX(0,RequiredHours-E192))</f>
        <v/>
      </c>
    </row>
    <row r="193">
      <c r="A193" s="9" t="n"/>
      <c r="B193" s="9" t="n"/>
      <c r="C193" s="9" t="n"/>
      <c r="D193" s="15" t="n"/>
      <c r="E193" s="10">
        <f>IF($B193="","",SUMIFS(Sessions!$I:$I,Sessions!$B:$B,$B193,Sessions!$A:$A,"&gt;="&amp;SemesterStart,Sessions!$A:$A,"&lt;="&amp;SemesterEnd))</f>
        <v/>
      </c>
      <c r="F193" s="10">
        <f>IF($B193="","",SUMIFS(Sessions!$F:$F,Sessions!$B:$B,$B193,Sessions!$G:$G,"Waiting",Sessions!$A:$A,"&gt;="&amp;SemesterStart,Sessions!$A:$A,"&lt;="&amp;SemesterEnd))</f>
        <v/>
      </c>
      <c r="G193" s="16">
        <f>IF($B193="","",MIN(1,E193/RequiredHours))</f>
        <v/>
      </c>
      <c r="H193" s="9">
        <f>IF($B193="","",IF(E193&gt;=RequiredHours,"Done","In progress"))</f>
        <v/>
      </c>
      <c r="I193" s="10">
        <f>IF($B193="","",MAX(0,RequiredHours-E193))</f>
        <v/>
      </c>
    </row>
    <row r="194">
      <c r="A194" s="9" t="n"/>
      <c r="B194" s="9" t="n"/>
      <c r="C194" s="9" t="n"/>
      <c r="D194" s="15" t="n"/>
      <c r="E194" s="10">
        <f>IF($B194="","",SUMIFS(Sessions!$I:$I,Sessions!$B:$B,$B194,Sessions!$A:$A,"&gt;="&amp;SemesterStart,Sessions!$A:$A,"&lt;="&amp;SemesterEnd))</f>
        <v/>
      </c>
      <c r="F194" s="10">
        <f>IF($B194="","",SUMIFS(Sessions!$F:$F,Sessions!$B:$B,$B194,Sessions!$G:$G,"Waiting",Sessions!$A:$A,"&gt;="&amp;SemesterStart,Sessions!$A:$A,"&lt;="&amp;SemesterEnd))</f>
        <v/>
      </c>
      <c r="G194" s="16">
        <f>IF($B194="","",MIN(1,E194/RequiredHours))</f>
        <v/>
      </c>
      <c r="H194" s="9">
        <f>IF($B194="","",IF(E194&gt;=RequiredHours,"Done","In progress"))</f>
        <v/>
      </c>
      <c r="I194" s="10">
        <f>IF($B194="","",MAX(0,RequiredHours-E194))</f>
        <v/>
      </c>
    </row>
    <row r="195">
      <c r="A195" s="9" t="n"/>
      <c r="B195" s="9" t="n"/>
      <c r="C195" s="9" t="n"/>
      <c r="D195" s="15" t="n"/>
      <c r="E195" s="10">
        <f>IF($B195="","",SUMIFS(Sessions!$I:$I,Sessions!$B:$B,$B195,Sessions!$A:$A,"&gt;="&amp;SemesterStart,Sessions!$A:$A,"&lt;="&amp;SemesterEnd))</f>
        <v/>
      </c>
      <c r="F195" s="10">
        <f>IF($B195="","",SUMIFS(Sessions!$F:$F,Sessions!$B:$B,$B195,Sessions!$G:$G,"Waiting",Sessions!$A:$A,"&gt;="&amp;SemesterStart,Sessions!$A:$A,"&lt;="&amp;SemesterEnd))</f>
        <v/>
      </c>
      <c r="G195" s="16">
        <f>IF($B195="","",MIN(1,E195/RequiredHours))</f>
        <v/>
      </c>
      <c r="H195" s="9">
        <f>IF($B195="","",IF(E195&gt;=RequiredHours,"Done","In progress"))</f>
        <v/>
      </c>
      <c r="I195" s="10">
        <f>IF($B195="","",MAX(0,RequiredHours-E195))</f>
        <v/>
      </c>
    </row>
    <row r="196">
      <c r="A196" s="9" t="n"/>
      <c r="B196" s="9" t="n"/>
      <c r="C196" s="9" t="n"/>
      <c r="D196" s="15" t="n"/>
      <c r="E196" s="10">
        <f>IF($B196="","",SUMIFS(Sessions!$I:$I,Sessions!$B:$B,$B196,Sessions!$A:$A,"&gt;="&amp;SemesterStart,Sessions!$A:$A,"&lt;="&amp;SemesterEnd))</f>
        <v/>
      </c>
      <c r="F196" s="10">
        <f>IF($B196="","",SUMIFS(Sessions!$F:$F,Sessions!$B:$B,$B196,Sessions!$G:$G,"Waiting",Sessions!$A:$A,"&gt;="&amp;SemesterStart,Sessions!$A:$A,"&lt;="&amp;SemesterEnd))</f>
        <v/>
      </c>
      <c r="G196" s="16">
        <f>IF($B196="","",MIN(1,E196/RequiredHours))</f>
        <v/>
      </c>
      <c r="H196" s="9">
        <f>IF($B196="","",IF(E196&gt;=RequiredHours,"Done","In progress"))</f>
        <v/>
      </c>
      <c r="I196" s="10">
        <f>IF($B196="","",MAX(0,RequiredHours-E196))</f>
        <v/>
      </c>
    </row>
    <row r="197">
      <c r="A197" s="9" t="n"/>
      <c r="B197" s="9" t="n"/>
      <c r="C197" s="9" t="n"/>
      <c r="D197" s="15" t="n"/>
      <c r="E197" s="10">
        <f>IF($B197="","",SUMIFS(Sessions!$I:$I,Sessions!$B:$B,$B197,Sessions!$A:$A,"&gt;="&amp;SemesterStart,Sessions!$A:$A,"&lt;="&amp;SemesterEnd))</f>
        <v/>
      </c>
      <c r="F197" s="10">
        <f>IF($B197="","",SUMIFS(Sessions!$F:$F,Sessions!$B:$B,$B197,Sessions!$G:$G,"Waiting",Sessions!$A:$A,"&gt;="&amp;SemesterStart,Sessions!$A:$A,"&lt;="&amp;SemesterEnd))</f>
        <v/>
      </c>
      <c r="G197" s="16">
        <f>IF($B197="","",MIN(1,E197/RequiredHours))</f>
        <v/>
      </c>
      <c r="H197" s="9">
        <f>IF($B197="","",IF(E197&gt;=RequiredHours,"Done","In progress"))</f>
        <v/>
      </c>
      <c r="I197" s="10">
        <f>IF($B197="","",MAX(0,RequiredHours-E197))</f>
        <v/>
      </c>
    </row>
    <row r="198">
      <c r="A198" s="9" t="n"/>
      <c r="B198" s="9" t="n"/>
      <c r="C198" s="9" t="n"/>
      <c r="D198" s="15" t="n"/>
      <c r="E198" s="10">
        <f>IF($B198="","",SUMIFS(Sessions!$I:$I,Sessions!$B:$B,$B198,Sessions!$A:$A,"&gt;="&amp;SemesterStart,Sessions!$A:$A,"&lt;="&amp;SemesterEnd))</f>
        <v/>
      </c>
      <c r="F198" s="10">
        <f>IF($B198="","",SUMIFS(Sessions!$F:$F,Sessions!$B:$B,$B198,Sessions!$G:$G,"Waiting",Sessions!$A:$A,"&gt;="&amp;SemesterStart,Sessions!$A:$A,"&lt;="&amp;SemesterEnd))</f>
        <v/>
      </c>
      <c r="G198" s="16">
        <f>IF($B198="","",MIN(1,E198/RequiredHours))</f>
        <v/>
      </c>
      <c r="H198" s="9">
        <f>IF($B198="","",IF(E198&gt;=RequiredHours,"Done","In progress"))</f>
        <v/>
      </c>
      <c r="I198" s="10">
        <f>IF($B198="","",MAX(0,RequiredHours-E198))</f>
        <v/>
      </c>
    </row>
    <row r="199">
      <c r="A199" s="9" t="n"/>
      <c r="B199" s="9" t="n"/>
      <c r="C199" s="9" t="n"/>
      <c r="D199" s="15" t="n"/>
      <c r="E199" s="10">
        <f>IF($B199="","",SUMIFS(Sessions!$I:$I,Sessions!$B:$B,$B199,Sessions!$A:$A,"&gt;="&amp;SemesterStart,Sessions!$A:$A,"&lt;="&amp;SemesterEnd))</f>
        <v/>
      </c>
      <c r="F199" s="10">
        <f>IF($B199="","",SUMIFS(Sessions!$F:$F,Sessions!$B:$B,$B199,Sessions!$G:$G,"Waiting",Sessions!$A:$A,"&gt;="&amp;SemesterStart,Sessions!$A:$A,"&lt;="&amp;SemesterEnd))</f>
        <v/>
      </c>
      <c r="G199" s="16">
        <f>IF($B199="","",MIN(1,E199/RequiredHours))</f>
        <v/>
      </c>
      <c r="H199" s="9">
        <f>IF($B199="","",IF(E199&gt;=RequiredHours,"Done","In progress"))</f>
        <v/>
      </c>
      <c r="I199" s="10">
        <f>IF($B199="","",MAX(0,RequiredHours-E199))</f>
        <v/>
      </c>
    </row>
    <row r="200">
      <c r="A200" s="9" t="n"/>
      <c r="B200" s="9" t="n"/>
      <c r="C200" s="9" t="n"/>
      <c r="D200" s="15" t="n"/>
      <c r="E200" s="10">
        <f>IF($B200="","",SUMIFS(Sessions!$I:$I,Sessions!$B:$B,$B200,Sessions!$A:$A,"&gt;="&amp;SemesterStart,Sessions!$A:$A,"&lt;="&amp;SemesterEnd))</f>
        <v/>
      </c>
      <c r="F200" s="10">
        <f>IF($B200="","",SUMIFS(Sessions!$F:$F,Sessions!$B:$B,$B200,Sessions!$G:$G,"Waiting",Sessions!$A:$A,"&gt;="&amp;SemesterStart,Sessions!$A:$A,"&lt;="&amp;SemesterEnd))</f>
        <v/>
      </c>
      <c r="G200" s="16">
        <f>IF($B200="","",MIN(1,E200/RequiredHours))</f>
        <v/>
      </c>
      <c r="H200" s="9">
        <f>IF($B200="","",IF(E200&gt;=RequiredHours,"Done","In progress"))</f>
        <v/>
      </c>
      <c r="I200" s="10">
        <f>IF($B200="","",MAX(0,RequiredHours-E200))</f>
        <v/>
      </c>
    </row>
    <row r="201">
      <c r="A201" s="9" t="n"/>
      <c r="B201" s="9" t="n"/>
      <c r="C201" s="9" t="n"/>
      <c r="D201" s="15" t="n"/>
      <c r="E201" s="10">
        <f>IF($B201="","",SUMIFS(Sessions!$I:$I,Sessions!$B:$B,$B201,Sessions!$A:$A,"&gt;="&amp;SemesterStart,Sessions!$A:$A,"&lt;="&amp;SemesterEnd))</f>
        <v/>
      </c>
      <c r="F201" s="10">
        <f>IF($B201="","",SUMIFS(Sessions!$F:$F,Sessions!$B:$B,$B201,Sessions!$G:$G,"Waiting",Sessions!$A:$A,"&gt;="&amp;SemesterStart,Sessions!$A:$A,"&lt;="&amp;SemesterEnd))</f>
        <v/>
      </c>
      <c r="G201" s="16">
        <f>IF($B201="","",MIN(1,E201/RequiredHours))</f>
        <v/>
      </c>
      <c r="H201" s="9">
        <f>IF($B201="","",IF(E201&gt;=RequiredHours,"Done","In progress"))</f>
        <v/>
      </c>
      <c r="I201" s="10">
        <f>IF($B201="","",MAX(0,RequiredHours-E201))</f>
        <v/>
      </c>
    </row>
    <row r="202">
      <c r="A202" s="9" t="n"/>
      <c r="B202" s="9" t="n"/>
      <c r="C202" s="9" t="n"/>
      <c r="D202" s="15" t="n"/>
      <c r="E202" s="10">
        <f>IF($B202="","",SUMIFS(Sessions!$I:$I,Sessions!$B:$B,$B202,Sessions!$A:$A,"&gt;="&amp;SemesterStart,Sessions!$A:$A,"&lt;="&amp;SemesterEnd))</f>
        <v/>
      </c>
      <c r="F202" s="10">
        <f>IF($B202="","",SUMIFS(Sessions!$F:$F,Sessions!$B:$B,$B202,Sessions!$G:$G,"Waiting",Sessions!$A:$A,"&gt;="&amp;SemesterStart,Sessions!$A:$A,"&lt;="&amp;SemesterEnd))</f>
        <v/>
      </c>
      <c r="G202" s="16">
        <f>IF($B202="","",MIN(1,E202/RequiredHours))</f>
        <v/>
      </c>
      <c r="H202" s="9">
        <f>IF($B202="","",IF(E202&gt;=RequiredHours,"Done","In progress"))</f>
        <v/>
      </c>
      <c r="I202" s="10">
        <f>IF($B202="","",MAX(0,RequiredHours-E202))</f>
        <v/>
      </c>
    </row>
    <row r="203">
      <c r="A203" s="9" t="n"/>
      <c r="B203" s="9" t="n"/>
      <c r="C203" s="9" t="n"/>
      <c r="D203" s="15" t="n"/>
      <c r="E203" s="10">
        <f>IF($B203="","",SUMIFS(Sessions!$I:$I,Sessions!$B:$B,$B203,Sessions!$A:$A,"&gt;="&amp;SemesterStart,Sessions!$A:$A,"&lt;="&amp;SemesterEnd))</f>
        <v/>
      </c>
      <c r="F203" s="10">
        <f>IF($B203="","",SUMIFS(Sessions!$F:$F,Sessions!$B:$B,$B203,Sessions!$G:$G,"Waiting",Sessions!$A:$A,"&gt;="&amp;SemesterStart,Sessions!$A:$A,"&lt;="&amp;SemesterEnd))</f>
        <v/>
      </c>
      <c r="G203" s="16">
        <f>IF($B203="","",MIN(1,E203/RequiredHours))</f>
        <v/>
      </c>
      <c r="H203" s="9">
        <f>IF($B203="","",IF(E203&gt;=RequiredHours,"Done","In progress"))</f>
        <v/>
      </c>
      <c r="I203" s="10">
        <f>IF($B203="","",MAX(0,RequiredHours-E203))</f>
        <v/>
      </c>
    </row>
    <row r="204">
      <c r="A204" s="9" t="n"/>
      <c r="B204" s="9" t="n"/>
      <c r="C204" s="9" t="n"/>
      <c r="D204" s="15" t="n"/>
      <c r="E204" s="10">
        <f>IF($B204="","",SUMIFS(Sessions!$I:$I,Sessions!$B:$B,$B204,Sessions!$A:$A,"&gt;="&amp;SemesterStart,Sessions!$A:$A,"&lt;="&amp;SemesterEnd))</f>
        <v/>
      </c>
      <c r="F204" s="10">
        <f>IF($B204="","",SUMIFS(Sessions!$F:$F,Sessions!$B:$B,$B204,Sessions!$G:$G,"Waiting",Sessions!$A:$A,"&gt;="&amp;SemesterStart,Sessions!$A:$A,"&lt;="&amp;SemesterEnd))</f>
        <v/>
      </c>
      <c r="G204" s="16">
        <f>IF($B204="","",MIN(1,E204/RequiredHours))</f>
        <v/>
      </c>
      <c r="H204" s="9">
        <f>IF($B204="","",IF(E204&gt;=RequiredHours,"Done","In progress"))</f>
        <v/>
      </c>
      <c r="I204" s="10">
        <f>IF($B204="","",MAX(0,RequiredHours-E204))</f>
        <v/>
      </c>
    </row>
    <row r="205">
      <c r="A205" s="9" t="n"/>
      <c r="B205" s="9" t="n"/>
      <c r="C205" s="9" t="n"/>
      <c r="D205" s="15" t="n"/>
      <c r="E205" s="10">
        <f>IF($B205="","",SUMIFS(Sessions!$I:$I,Sessions!$B:$B,$B205,Sessions!$A:$A,"&gt;="&amp;SemesterStart,Sessions!$A:$A,"&lt;="&amp;SemesterEnd))</f>
        <v/>
      </c>
      <c r="F205" s="10">
        <f>IF($B205="","",SUMIFS(Sessions!$F:$F,Sessions!$B:$B,$B205,Sessions!$G:$G,"Waiting",Sessions!$A:$A,"&gt;="&amp;SemesterStart,Sessions!$A:$A,"&lt;="&amp;SemesterEnd))</f>
        <v/>
      </c>
      <c r="G205" s="16">
        <f>IF($B205="","",MIN(1,E205/RequiredHours))</f>
        <v/>
      </c>
      <c r="H205" s="9">
        <f>IF($B205="","",IF(E205&gt;=RequiredHours,"Done","In progress"))</f>
        <v/>
      </c>
      <c r="I205" s="10">
        <f>IF($B205="","",MAX(0,RequiredHours-E205))</f>
        <v/>
      </c>
    </row>
    <row r="206">
      <c r="A206" s="9" t="n"/>
      <c r="B206" s="9" t="n"/>
      <c r="C206" s="9" t="n"/>
      <c r="D206" s="15" t="n"/>
      <c r="E206" s="10">
        <f>IF($B206="","",SUMIFS(Sessions!$I:$I,Sessions!$B:$B,$B206,Sessions!$A:$A,"&gt;="&amp;SemesterStart,Sessions!$A:$A,"&lt;="&amp;SemesterEnd))</f>
        <v/>
      </c>
      <c r="F206" s="10">
        <f>IF($B206="","",SUMIFS(Sessions!$F:$F,Sessions!$B:$B,$B206,Sessions!$G:$G,"Waiting",Sessions!$A:$A,"&gt;="&amp;SemesterStart,Sessions!$A:$A,"&lt;="&amp;SemesterEnd))</f>
        <v/>
      </c>
      <c r="G206" s="16">
        <f>IF($B206="","",MIN(1,E206/RequiredHours))</f>
        <v/>
      </c>
      <c r="H206" s="9">
        <f>IF($B206="","",IF(E206&gt;=RequiredHours,"Done","In progress"))</f>
        <v/>
      </c>
      <c r="I206" s="10">
        <f>IF($B206="","",MAX(0,RequiredHours-E206))</f>
        <v/>
      </c>
    </row>
    <row r="207">
      <c r="A207" s="9" t="n"/>
      <c r="B207" s="9" t="n"/>
      <c r="C207" s="9" t="n"/>
      <c r="D207" s="15" t="n"/>
      <c r="E207" s="10">
        <f>IF($B207="","",SUMIFS(Sessions!$I:$I,Sessions!$B:$B,$B207,Sessions!$A:$A,"&gt;="&amp;SemesterStart,Sessions!$A:$A,"&lt;="&amp;SemesterEnd))</f>
        <v/>
      </c>
      <c r="F207" s="10">
        <f>IF($B207="","",SUMIFS(Sessions!$F:$F,Sessions!$B:$B,$B207,Sessions!$G:$G,"Waiting",Sessions!$A:$A,"&gt;="&amp;SemesterStart,Sessions!$A:$A,"&lt;="&amp;SemesterEnd))</f>
        <v/>
      </c>
      <c r="G207" s="16">
        <f>IF($B207="","",MIN(1,E207/RequiredHours))</f>
        <v/>
      </c>
      <c r="H207" s="9">
        <f>IF($B207="","",IF(E207&gt;=RequiredHours,"Done","In progress"))</f>
        <v/>
      </c>
      <c r="I207" s="10">
        <f>IF($B207="","",MAX(0,RequiredHours-E207))</f>
        <v/>
      </c>
    </row>
    <row r="208">
      <c r="A208" s="9" t="n"/>
      <c r="B208" s="9" t="n"/>
      <c r="C208" s="9" t="n"/>
      <c r="D208" s="15" t="n"/>
      <c r="E208" s="10">
        <f>IF($B208="","",SUMIFS(Sessions!$I:$I,Sessions!$B:$B,$B208,Sessions!$A:$A,"&gt;="&amp;SemesterStart,Sessions!$A:$A,"&lt;="&amp;SemesterEnd))</f>
        <v/>
      </c>
      <c r="F208" s="10">
        <f>IF($B208="","",SUMIFS(Sessions!$F:$F,Sessions!$B:$B,$B208,Sessions!$G:$G,"Waiting",Sessions!$A:$A,"&gt;="&amp;SemesterStart,Sessions!$A:$A,"&lt;="&amp;SemesterEnd))</f>
        <v/>
      </c>
      <c r="G208" s="16">
        <f>IF($B208="","",MIN(1,E208/RequiredHours))</f>
        <v/>
      </c>
      <c r="H208" s="9">
        <f>IF($B208="","",IF(E208&gt;=RequiredHours,"Done","In progress"))</f>
        <v/>
      </c>
      <c r="I208" s="10">
        <f>IF($B208="","",MAX(0,RequiredHours-E208))</f>
        <v/>
      </c>
    </row>
    <row r="209">
      <c r="A209" s="9" t="n"/>
      <c r="B209" s="9" t="n"/>
      <c r="C209" s="9" t="n"/>
      <c r="D209" s="15" t="n"/>
      <c r="E209" s="10">
        <f>IF($B209="","",SUMIFS(Sessions!$I:$I,Sessions!$B:$B,$B209,Sessions!$A:$A,"&gt;="&amp;SemesterStart,Sessions!$A:$A,"&lt;="&amp;SemesterEnd))</f>
        <v/>
      </c>
      <c r="F209" s="10">
        <f>IF($B209="","",SUMIFS(Sessions!$F:$F,Sessions!$B:$B,$B209,Sessions!$G:$G,"Waiting",Sessions!$A:$A,"&gt;="&amp;SemesterStart,Sessions!$A:$A,"&lt;="&amp;SemesterEnd))</f>
        <v/>
      </c>
      <c r="G209" s="16">
        <f>IF($B209="","",MIN(1,E209/RequiredHours))</f>
        <v/>
      </c>
      <c r="H209" s="9">
        <f>IF($B209="","",IF(E209&gt;=RequiredHours,"Done","In progress"))</f>
        <v/>
      </c>
      <c r="I209" s="10">
        <f>IF($B209="","",MAX(0,RequiredHours-E209))</f>
        <v/>
      </c>
    </row>
    <row r="210">
      <c r="A210" s="9" t="n"/>
      <c r="B210" s="9" t="n"/>
      <c r="C210" s="9" t="n"/>
      <c r="D210" s="15" t="n"/>
      <c r="E210" s="10">
        <f>IF($B210="","",SUMIFS(Sessions!$I:$I,Sessions!$B:$B,$B210,Sessions!$A:$A,"&gt;="&amp;SemesterStart,Sessions!$A:$A,"&lt;="&amp;SemesterEnd))</f>
        <v/>
      </c>
      <c r="F210" s="10">
        <f>IF($B210="","",SUMIFS(Sessions!$F:$F,Sessions!$B:$B,$B210,Sessions!$G:$G,"Waiting",Sessions!$A:$A,"&gt;="&amp;SemesterStart,Sessions!$A:$A,"&lt;="&amp;SemesterEnd))</f>
        <v/>
      </c>
      <c r="G210" s="16">
        <f>IF($B210="","",MIN(1,E210/RequiredHours))</f>
        <v/>
      </c>
      <c r="H210" s="9">
        <f>IF($B210="","",IF(E210&gt;=RequiredHours,"Done","In progress"))</f>
        <v/>
      </c>
      <c r="I210" s="10">
        <f>IF($B210="","",MAX(0,RequiredHours-E210))</f>
        <v/>
      </c>
    </row>
    <row r="211">
      <c r="A211" s="9" t="n"/>
      <c r="B211" s="9" t="n"/>
      <c r="C211" s="9" t="n"/>
      <c r="D211" s="15" t="n"/>
      <c r="E211" s="10">
        <f>IF($B211="","",SUMIFS(Sessions!$I:$I,Sessions!$B:$B,$B211,Sessions!$A:$A,"&gt;="&amp;SemesterStart,Sessions!$A:$A,"&lt;="&amp;SemesterEnd))</f>
        <v/>
      </c>
      <c r="F211" s="10">
        <f>IF($B211="","",SUMIFS(Sessions!$F:$F,Sessions!$B:$B,$B211,Sessions!$G:$G,"Waiting",Sessions!$A:$A,"&gt;="&amp;SemesterStart,Sessions!$A:$A,"&lt;="&amp;SemesterEnd))</f>
        <v/>
      </c>
      <c r="G211" s="16">
        <f>IF($B211="","",MIN(1,E211/RequiredHours))</f>
        <v/>
      </c>
      <c r="H211" s="9">
        <f>IF($B211="","",IF(E211&gt;=RequiredHours,"Done","In progress"))</f>
        <v/>
      </c>
      <c r="I211" s="10">
        <f>IF($B211="","",MAX(0,RequiredHours-E211))</f>
        <v/>
      </c>
    </row>
    <row r="212">
      <c r="A212" s="9" t="n"/>
      <c r="B212" s="9" t="n"/>
      <c r="C212" s="9" t="n"/>
      <c r="D212" s="15" t="n"/>
      <c r="E212" s="10">
        <f>IF($B212="","",SUMIFS(Sessions!$I:$I,Sessions!$B:$B,$B212,Sessions!$A:$A,"&gt;="&amp;SemesterStart,Sessions!$A:$A,"&lt;="&amp;SemesterEnd))</f>
        <v/>
      </c>
      <c r="F212" s="10">
        <f>IF($B212="","",SUMIFS(Sessions!$F:$F,Sessions!$B:$B,$B212,Sessions!$G:$G,"Waiting",Sessions!$A:$A,"&gt;="&amp;SemesterStart,Sessions!$A:$A,"&lt;="&amp;SemesterEnd))</f>
        <v/>
      </c>
      <c r="G212" s="16">
        <f>IF($B212="","",MIN(1,E212/RequiredHours))</f>
        <v/>
      </c>
      <c r="H212" s="9">
        <f>IF($B212="","",IF(E212&gt;=RequiredHours,"Done","In progress"))</f>
        <v/>
      </c>
      <c r="I212" s="10">
        <f>IF($B212="","",MAX(0,RequiredHours-E212))</f>
        <v/>
      </c>
    </row>
    <row r="213">
      <c r="A213" s="9" t="n"/>
      <c r="B213" s="9" t="n"/>
      <c r="C213" s="9" t="n"/>
      <c r="D213" s="15" t="n"/>
      <c r="E213" s="10">
        <f>IF($B213="","",SUMIFS(Sessions!$I:$I,Sessions!$B:$B,$B213,Sessions!$A:$A,"&gt;="&amp;SemesterStart,Sessions!$A:$A,"&lt;="&amp;SemesterEnd))</f>
        <v/>
      </c>
      <c r="F213" s="10">
        <f>IF($B213="","",SUMIFS(Sessions!$F:$F,Sessions!$B:$B,$B213,Sessions!$G:$G,"Waiting",Sessions!$A:$A,"&gt;="&amp;SemesterStart,Sessions!$A:$A,"&lt;="&amp;SemesterEnd))</f>
        <v/>
      </c>
      <c r="G213" s="16">
        <f>IF($B213="","",MIN(1,E213/RequiredHours))</f>
        <v/>
      </c>
      <c r="H213" s="9">
        <f>IF($B213="","",IF(E213&gt;=RequiredHours,"Done","In progress"))</f>
        <v/>
      </c>
      <c r="I213" s="10">
        <f>IF($B213="","",MAX(0,RequiredHours-E213))</f>
        <v/>
      </c>
    </row>
    <row r="214">
      <c r="A214" s="9" t="n"/>
      <c r="B214" s="9" t="n"/>
      <c r="C214" s="9" t="n"/>
      <c r="D214" s="15" t="n"/>
      <c r="E214" s="10">
        <f>IF($B214="","",SUMIFS(Sessions!$I:$I,Sessions!$B:$B,$B214,Sessions!$A:$A,"&gt;="&amp;SemesterStart,Sessions!$A:$A,"&lt;="&amp;SemesterEnd))</f>
        <v/>
      </c>
      <c r="F214" s="10">
        <f>IF($B214="","",SUMIFS(Sessions!$F:$F,Sessions!$B:$B,$B214,Sessions!$G:$G,"Waiting",Sessions!$A:$A,"&gt;="&amp;SemesterStart,Sessions!$A:$A,"&lt;="&amp;SemesterEnd))</f>
        <v/>
      </c>
      <c r="G214" s="16">
        <f>IF($B214="","",MIN(1,E214/RequiredHours))</f>
        <v/>
      </c>
      <c r="H214" s="9">
        <f>IF($B214="","",IF(E214&gt;=RequiredHours,"Done","In progress"))</f>
        <v/>
      </c>
      <c r="I214" s="10">
        <f>IF($B214="","",MAX(0,RequiredHours-E214))</f>
        <v/>
      </c>
    </row>
    <row r="215">
      <c r="A215" s="9" t="n"/>
      <c r="B215" s="9" t="n"/>
      <c r="C215" s="9" t="n"/>
      <c r="D215" s="15" t="n"/>
      <c r="E215" s="10">
        <f>IF($B215="","",SUMIFS(Sessions!$I:$I,Sessions!$B:$B,$B215,Sessions!$A:$A,"&gt;="&amp;SemesterStart,Sessions!$A:$A,"&lt;="&amp;SemesterEnd))</f>
        <v/>
      </c>
      <c r="F215" s="10">
        <f>IF($B215="","",SUMIFS(Sessions!$F:$F,Sessions!$B:$B,$B215,Sessions!$G:$G,"Waiting",Sessions!$A:$A,"&gt;="&amp;SemesterStart,Sessions!$A:$A,"&lt;="&amp;SemesterEnd))</f>
        <v/>
      </c>
      <c r="G215" s="16">
        <f>IF($B215="","",MIN(1,E215/RequiredHours))</f>
        <v/>
      </c>
      <c r="H215" s="9">
        <f>IF($B215="","",IF(E215&gt;=RequiredHours,"Done","In progress"))</f>
        <v/>
      </c>
      <c r="I215" s="10">
        <f>IF($B215="","",MAX(0,RequiredHours-E215))</f>
        <v/>
      </c>
    </row>
    <row r="216">
      <c r="A216" s="9" t="n"/>
      <c r="B216" s="9" t="n"/>
      <c r="C216" s="9" t="n"/>
      <c r="D216" s="15" t="n"/>
      <c r="E216" s="10">
        <f>IF($B216="","",SUMIFS(Sessions!$I:$I,Sessions!$B:$B,$B216,Sessions!$A:$A,"&gt;="&amp;SemesterStart,Sessions!$A:$A,"&lt;="&amp;SemesterEnd))</f>
        <v/>
      </c>
      <c r="F216" s="10">
        <f>IF($B216="","",SUMIFS(Sessions!$F:$F,Sessions!$B:$B,$B216,Sessions!$G:$G,"Waiting",Sessions!$A:$A,"&gt;="&amp;SemesterStart,Sessions!$A:$A,"&lt;="&amp;SemesterEnd))</f>
        <v/>
      </c>
      <c r="G216" s="16">
        <f>IF($B216="","",MIN(1,E216/RequiredHours))</f>
        <v/>
      </c>
      <c r="H216" s="9">
        <f>IF($B216="","",IF(E216&gt;=RequiredHours,"Done","In progress"))</f>
        <v/>
      </c>
      <c r="I216" s="10">
        <f>IF($B216="","",MAX(0,RequiredHours-E216))</f>
        <v/>
      </c>
    </row>
    <row r="217">
      <c r="A217" s="9" t="n"/>
      <c r="B217" s="9" t="n"/>
      <c r="C217" s="9" t="n"/>
      <c r="D217" s="15" t="n"/>
      <c r="E217" s="10">
        <f>IF($B217="","",SUMIFS(Sessions!$I:$I,Sessions!$B:$B,$B217,Sessions!$A:$A,"&gt;="&amp;SemesterStart,Sessions!$A:$A,"&lt;="&amp;SemesterEnd))</f>
        <v/>
      </c>
      <c r="F217" s="10">
        <f>IF($B217="","",SUMIFS(Sessions!$F:$F,Sessions!$B:$B,$B217,Sessions!$G:$G,"Waiting",Sessions!$A:$A,"&gt;="&amp;SemesterStart,Sessions!$A:$A,"&lt;="&amp;SemesterEnd))</f>
        <v/>
      </c>
      <c r="G217" s="16">
        <f>IF($B217="","",MIN(1,E217/RequiredHours))</f>
        <v/>
      </c>
      <c r="H217" s="9">
        <f>IF($B217="","",IF(E217&gt;=RequiredHours,"Done","In progress"))</f>
        <v/>
      </c>
      <c r="I217" s="10">
        <f>IF($B217="","",MAX(0,RequiredHours-E217))</f>
        <v/>
      </c>
    </row>
    <row r="218">
      <c r="A218" s="9" t="n"/>
      <c r="B218" s="9" t="n"/>
      <c r="C218" s="9" t="n"/>
      <c r="D218" s="15" t="n"/>
      <c r="E218" s="10">
        <f>IF($B218="","",SUMIFS(Sessions!$I:$I,Sessions!$B:$B,$B218,Sessions!$A:$A,"&gt;="&amp;SemesterStart,Sessions!$A:$A,"&lt;="&amp;SemesterEnd))</f>
        <v/>
      </c>
      <c r="F218" s="10">
        <f>IF($B218="","",SUMIFS(Sessions!$F:$F,Sessions!$B:$B,$B218,Sessions!$G:$G,"Waiting",Sessions!$A:$A,"&gt;="&amp;SemesterStart,Sessions!$A:$A,"&lt;="&amp;SemesterEnd))</f>
        <v/>
      </c>
      <c r="G218" s="16">
        <f>IF($B218="","",MIN(1,E218/RequiredHours))</f>
        <v/>
      </c>
      <c r="H218" s="9">
        <f>IF($B218="","",IF(E218&gt;=RequiredHours,"Done","In progress"))</f>
        <v/>
      </c>
      <c r="I218" s="10">
        <f>IF($B218="","",MAX(0,RequiredHours-E218))</f>
        <v/>
      </c>
    </row>
    <row r="219">
      <c r="A219" s="9" t="n"/>
      <c r="B219" s="9" t="n"/>
      <c r="C219" s="9" t="n"/>
      <c r="D219" s="15" t="n"/>
      <c r="E219" s="10">
        <f>IF($B219="","",SUMIFS(Sessions!$I:$I,Sessions!$B:$B,$B219,Sessions!$A:$A,"&gt;="&amp;SemesterStart,Sessions!$A:$A,"&lt;="&amp;SemesterEnd))</f>
        <v/>
      </c>
      <c r="F219" s="10">
        <f>IF($B219="","",SUMIFS(Sessions!$F:$F,Sessions!$B:$B,$B219,Sessions!$G:$G,"Waiting",Sessions!$A:$A,"&gt;="&amp;SemesterStart,Sessions!$A:$A,"&lt;="&amp;SemesterEnd))</f>
        <v/>
      </c>
      <c r="G219" s="16">
        <f>IF($B219="","",MIN(1,E219/RequiredHours))</f>
        <v/>
      </c>
      <c r="H219" s="9">
        <f>IF($B219="","",IF(E219&gt;=RequiredHours,"Done","In progress"))</f>
        <v/>
      </c>
      <c r="I219" s="10">
        <f>IF($B219="","",MAX(0,RequiredHours-E219))</f>
        <v/>
      </c>
    </row>
    <row r="220">
      <c r="A220" s="9" t="n"/>
      <c r="B220" s="9" t="n"/>
      <c r="C220" s="9" t="n"/>
      <c r="D220" s="15" t="n"/>
      <c r="E220" s="10">
        <f>IF($B220="","",SUMIFS(Sessions!$I:$I,Sessions!$B:$B,$B220,Sessions!$A:$A,"&gt;="&amp;SemesterStart,Sessions!$A:$A,"&lt;="&amp;SemesterEnd))</f>
        <v/>
      </c>
      <c r="F220" s="10">
        <f>IF($B220="","",SUMIFS(Sessions!$F:$F,Sessions!$B:$B,$B220,Sessions!$G:$G,"Waiting",Sessions!$A:$A,"&gt;="&amp;SemesterStart,Sessions!$A:$A,"&lt;="&amp;SemesterEnd))</f>
        <v/>
      </c>
      <c r="G220" s="16">
        <f>IF($B220="","",MIN(1,E220/RequiredHours))</f>
        <v/>
      </c>
      <c r="H220" s="9">
        <f>IF($B220="","",IF(E220&gt;=RequiredHours,"Done","In progress"))</f>
        <v/>
      </c>
      <c r="I220" s="10">
        <f>IF($B220="","",MAX(0,RequiredHours-E220))</f>
        <v/>
      </c>
    </row>
    <row r="221">
      <c r="A221" s="9" t="n"/>
      <c r="B221" s="9" t="n"/>
      <c r="C221" s="9" t="n"/>
      <c r="D221" s="15" t="n"/>
      <c r="E221" s="10">
        <f>IF($B221="","",SUMIFS(Sessions!$I:$I,Sessions!$B:$B,$B221,Sessions!$A:$A,"&gt;="&amp;SemesterStart,Sessions!$A:$A,"&lt;="&amp;SemesterEnd))</f>
        <v/>
      </c>
      <c r="F221" s="10">
        <f>IF($B221="","",SUMIFS(Sessions!$F:$F,Sessions!$B:$B,$B221,Sessions!$G:$G,"Waiting",Sessions!$A:$A,"&gt;="&amp;SemesterStart,Sessions!$A:$A,"&lt;="&amp;SemesterEnd))</f>
        <v/>
      </c>
      <c r="G221" s="16">
        <f>IF($B221="","",MIN(1,E221/RequiredHours))</f>
        <v/>
      </c>
      <c r="H221" s="9">
        <f>IF($B221="","",IF(E221&gt;=RequiredHours,"Done","In progress"))</f>
        <v/>
      </c>
      <c r="I221" s="10">
        <f>IF($B221="","",MAX(0,RequiredHours-E221))</f>
        <v/>
      </c>
    </row>
    <row r="222">
      <c r="A222" s="9" t="n"/>
      <c r="B222" s="9" t="n"/>
      <c r="C222" s="9" t="n"/>
      <c r="D222" s="15" t="n"/>
      <c r="E222" s="10">
        <f>IF($B222="","",SUMIFS(Sessions!$I:$I,Sessions!$B:$B,$B222,Sessions!$A:$A,"&gt;="&amp;SemesterStart,Sessions!$A:$A,"&lt;="&amp;SemesterEnd))</f>
        <v/>
      </c>
      <c r="F222" s="10">
        <f>IF($B222="","",SUMIFS(Sessions!$F:$F,Sessions!$B:$B,$B222,Sessions!$G:$G,"Waiting",Sessions!$A:$A,"&gt;="&amp;SemesterStart,Sessions!$A:$A,"&lt;="&amp;SemesterEnd))</f>
        <v/>
      </c>
      <c r="G222" s="16">
        <f>IF($B222="","",MIN(1,E222/RequiredHours))</f>
        <v/>
      </c>
      <c r="H222" s="9">
        <f>IF($B222="","",IF(E222&gt;=RequiredHours,"Done","In progress"))</f>
        <v/>
      </c>
      <c r="I222" s="10">
        <f>IF($B222="","",MAX(0,RequiredHours-E222))</f>
        <v/>
      </c>
    </row>
    <row r="223">
      <c r="A223" s="9" t="n"/>
      <c r="B223" s="9" t="n"/>
      <c r="C223" s="9" t="n"/>
      <c r="D223" s="15" t="n"/>
      <c r="E223" s="10">
        <f>IF($B223="","",SUMIFS(Sessions!$I:$I,Sessions!$B:$B,$B223,Sessions!$A:$A,"&gt;="&amp;SemesterStart,Sessions!$A:$A,"&lt;="&amp;SemesterEnd))</f>
        <v/>
      </c>
      <c r="F223" s="10">
        <f>IF($B223="","",SUMIFS(Sessions!$F:$F,Sessions!$B:$B,$B223,Sessions!$G:$G,"Waiting",Sessions!$A:$A,"&gt;="&amp;SemesterStart,Sessions!$A:$A,"&lt;="&amp;SemesterEnd))</f>
        <v/>
      </c>
      <c r="G223" s="16">
        <f>IF($B223="","",MIN(1,E223/RequiredHours))</f>
        <v/>
      </c>
      <c r="H223" s="9">
        <f>IF($B223="","",IF(E223&gt;=RequiredHours,"Done","In progress"))</f>
        <v/>
      </c>
      <c r="I223" s="10">
        <f>IF($B223="","",MAX(0,RequiredHours-E223))</f>
        <v/>
      </c>
    </row>
    <row r="224">
      <c r="A224" s="9" t="n"/>
      <c r="B224" s="9" t="n"/>
      <c r="C224" s="9" t="n"/>
      <c r="D224" s="15" t="n"/>
      <c r="E224" s="10">
        <f>IF($B224="","",SUMIFS(Sessions!$I:$I,Sessions!$B:$B,$B224,Sessions!$A:$A,"&gt;="&amp;SemesterStart,Sessions!$A:$A,"&lt;="&amp;SemesterEnd))</f>
        <v/>
      </c>
      <c r="F224" s="10">
        <f>IF($B224="","",SUMIFS(Sessions!$F:$F,Sessions!$B:$B,$B224,Sessions!$G:$G,"Waiting",Sessions!$A:$A,"&gt;="&amp;SemesterStart,Sessions!$A:$A,"&lt;="&amp;SemesterEnd))</f>
        <v/>
      </c>
      <c r="G224" s="16">
        <f>IF($B224="","",MIN(1,E224/RequiredHours))</f>
        <v/>
      </c>
      <c r="H224" s="9">
        <f>IF($B224="","",IF(E224&gt;=RequiredHours,"Done","In progress"))</f>
        <v/>
      </c>
      <c r="I224" s="10">
        <f>IF($B224="","",MAX(0,RequiredHours-E224))</f>
        <v/>
      </c>
    </row>
    <row r="225">
      <c r="A225" s="9" t="n"/>
      <c r="B225" s="9" t="n"/>
      <c r="C225" s="9" t="n"/>
      <c r="D225" s="15" t="n"/>
      <c r="E225" s="10">
        <f>IF($B225="","",SUMIFS(Sessions!$I:$I,Sessions!$B:$B,$B225,Sessions!$A:$A,"&gt;="&amp;SemesterStart,Sessions!$A:$A,"&lt;="&amp;SemesterEnd))</f>
        <v/>
      </c>
      <c r="F225" s="10">
        <f>IF($B225="","",SUMIFS(Sessions!$F:$F,Sessions!$B:$B,$B225,Sessions!$G:$G,"Waiting",Sessions!$A:$A,"&gt;="&amp;SemesterStart,Sessions!$A:$A,"&lt;="&amp;SemesterEnd))</f>
        <v/>
      </c>
      <c r="G225" s="16">
        <f>IF($B225="","",MIN(1,E225/RequiredHours))</f>
        <v/>
      </c>
      <c r="H225" s="9">
        <f>IF($B225="","",IF(E225&gt;=RequiredHours,"Done","In progress"))</f>
        <v/>
      </c>
      <c r="I225" s="10">
        <f>IF($B225="","",MAX(0,RequiredHours-E225))</f>
        <v/>
      </c>
    </row>
    <row r="226">
      <c r="A226" s="9" t="n"/>
      <c r="B226" s="9" t="n"/>
      <c r="C226" s="9" t="n"/>
      <c r="D226" s="15" t="n"/>
      <c r="E226" s="10">
        <f>IF($B226="","",SUMIFS(Sessions!$I:$I,Sessions!$B:$B,$B226,Sessions!$A:$A,"&gt;="&amp;SemesterStart,Sessions!$A:$A,"&lt;="&amp;SemesterEnd))</f>
        <v/>
      </c>
      <c r="F226" s="10">
        <f>IF($B226="","",SUMIFS(Sessions!$F:$F,Sessions!$B:$B,$B226,Sessions!$G:$G,"Waiting",Sessions!$A:$A,"&gt;="&amp;SemesterStart,Sessions!$A:$A,"&lt;="&amp;SemesterEnd))</f>
        <v/>
      </c>
      <c r="G226" s="16">
        <f>IF($B226="","",MIN(1,E226/RequiredHours))</f>
        <v/>
      </c>
      <c r="H226" s="9">
        <f>IF($B226="","",IF(E226&gt;=RequiredHours,"Done","In progress"))</f>
        <v/>
      </c>
      <c r="I226" s="10">
        <f>IF($B226="","",MAX(0,RequiredHours-E226))</f>
        <v/>
      </c>
    </row>
    <row r="227">
      <c r="A227" s="9" t="n"/>
      <c r="B227" s="9" t="n"/>
      <c r="C227" s="9" t="n"/>
      <c r="D227" s="15" t="n"/>
      <c r="E227" s="10">
        <f>IF($B227="","",SUMIFS(Sessions!$I:$I,Sessions!$B:$B,$B227,Sessions!$A:$A,"&gt;="&amp;SemesterStart,Sessions!$A:$A,"&lt;="&amp;SemesterEnd))</f>
        <v/>
      </c>
      <c r="F227" s="10">
        <f>IF($B227="","",SUMIFS(Sessions!$F:$F,Sessions!$B:$B,$B227,Sessions!$G:$G,"Waiting",Sessions!$A:$A,"&gt;="&amp;SemesterStart,Sessions!$A:$A,"&lt;="&amp;SemesterEnd))</f>
        <v/>
      </c>
      <c r="G227" s="16">
        <f>IF($B227="","",MIN(1,E227/RequiredHours))</f>
        <v/>
      </c>
      <c r="H227" s="9">
        <f>IF($B227="","",IF(E227&gt;=RequiredHours,"Done","In progress"))</f>
        <v/>
      </c>
      <c r="I227" s="10">
        <f>IF($B227="","",MAX(0,RequiredHours-E227))</f>
        <v/>
      </c>
    </row>
    <row r="228">
      <c r="A228" s="9" t="n"/>
      <c r="B228" s="9" t="n"/>
      <c r="C228" s="9" t="n"/>
      <c r="D228" s="15" t="n"/>
      <c r="E228" s="10">
        <f>IF($B228="","",SUMIFS(Sessions!$I:$I,Sessions!$B:$B,$B228,Sessions!$A:$A,"&gt;="&amp;SemesterStart,Sessions!$A:$A,"&lt;="&amp;SemesterEnd))</f>
        <v/>
      </c>
      <c r="F228" s="10">
        <f>IF($B228="","",SUMIFS(Sessions!$F:$F,Sessions!$B:$B,$B228,Sessions!$G:$G,"Waiting",Sessions!$A:$A,"&gt;="&amp;SemesterStart,Sessions!$A:$A,"&lt;="&amp;SemesterEnd))</f>
        <v/>
      </c>
      <c r="G228" s="16">
        <f>IF($B228="","",MIN(1,E228/RequiredHours))</f>
        <v/>
      </c>
      <c r="H228" s="9">
        <f>IF($B228="","",IF(E228&gt;=RequiredHours,"Done","In progress"))</f>
        <v/>
      </c>
      <c r="I228" s="10">
        <f>IF($B228="","",MAX(0,RequiredHours-E228))</f>
        <v/>
      </c>
    </row>
    <row r="229">
      <c r="A229" s="9" t="n"/>
      <c r="B229" s="9" t="n"/>
      <c r="C229" s="9" t="n"/>
      <c r="D229" s="15" t="n"/>
      <c r="E229" s="10">
        <f>IF($B229="","",SUMIFS(Sessions!$I:$I,Sessions!$B:$B,$B229,Sessions!$A:$A,"&gt;="&amp;SemesterStart,Sessions!$A:$A,"&lt;="&amp;SemesterEnd))</f>
        <v/>
      </c>
      <c r="F229" s="10">
        <f>IF($B229="","",SUMIFS(Sessions!$F:$F,Sessions!$B:$B,$B229,Sessions!$G:$G,"Waiting",Sessions!$A:$A,"&gt;="&amp;SemesterStart,Sessions!$A:$A,"&lt;="&amp;SemesterEnd))</f>
        <v/>
      </c>
      <c r="G229" s="16">
        <f>IF($B229="","",MIN(1,E229/RequiredHours))</f>
        <v/>
      </c>
      <c r="H229" s="9">
        <f>IF($B229="","",IF(E229&gt;=RequiredHours,"Done","In progress"))</f>
        <v/>
      </c>
      <c r="I229" s="10">
        <f>IF($B229="","",MAX(0,RequiredHours-E229))</f>
        <v/>
      </c>
    </row>
    <row r="230">
      <c r="A230" s="9" t="n"/>
      <c r="B230" s="9" t="n"/>
      <c r="C230" s="9" t="n"/>
      <c r="D230" s="15" t="n"/>
      <c r="E230" s="10">
        <f>IF($B230="","",SUMIFS(Sessions!$I:$I,Sessions!$B:$B,$B230,Sessions!$A:$A,"&gt;="&amp;SemesterStart,Sessions!$A:$A,"&lt;="&amp;SemesterEnd))</f>
        <v/>
      </c>
      <c r="F230" s="10">
        <f>IF($B230="","",SUMIFS(Sessions!$F:$F,Sessions!$B:$B,$B230,Sessions!$G:$G,"Waiting",Sessions!$A:$A,"&gt;="&amp;SemesterStart,Sessions!$A:$A,"&lt;="&amp;SemesterEnd))</f>
        <v/>
      </c>
      <c r="G230" s="16">
        <f>IF($B230="","",MIN(1,E230/RequiredHours))</f>
        <v/>
      </c>
      <c r="H230" s="9">
        <f>IF($B230="","",IF(E230&gt;=RequiredHours,"Done","In progress"))</f>
        <v/>
      </c>
      <c r="I230" s="10">
        <f>IF($B230="","",MAX(0,RequiredHours-E230))</f>
        <v/>
      </c>
    </row>
    <row r="231">
      <c r="A231" s="9" t="n"/>
      <c r="B231" s="9" t="n"/>
      <c r="C231" s="9" t="n"/>
      <c r="D231" s="15" t="n"/>
      <c r="E231" s="10">
        <f>IF($B231="","",SUMIFS(Sessions!$I:$I,Sessions!$B:$B,$B231,Sessions!$A:$A,"&gt;="&amp;SemesterStart,Sessions!$A:$A,"&lt;="&amp;SemesterEnd))</f>
        <v/>
      </c>
      <c r="F231" s="10">
        <f>IF($B231="","",SUMIFS(Sessions!$F:$F,Sessions!$B:$B,$B231,Sessions!$G:$G,"Waiting",Sessions!$A:$A,"&gt;="&amp;SemesterStart,Sessions!$A:$A,"&lt;="&amp;SemesterEnd))</f>
        <v/>
      </c>
      <c r="G231" s="16">
        <f>IF($B231="","",MIN(1,E231/RequiredHours))</f>
        <v/>
      </c>
      <c r="H231" s="9">
        <f>IF($B231="","",IF(E231&gt;=RequiredHours,"Done","In progress"))</f>
        <v/>
      </c>
      <c r="I231" s="10">
        <f>IF($B231="","",MAX(0,RequiredHours-E231))</f>
        <v/>
      </c>
    </row>
    <row r="232">
      <c r="A232" s="9" t="n"/>
      <c r="B232" s="9" t="n"/>
      <c r="C232" s="9" t="n"/>
      <c r="D232" s="15" t="n"/>
      <c r="E232" s="10">
        <f>IF($B232="","",SUMIFS(Sessions!$I:$I,Sessions!$B:$B,$B232,Sessions!$A:$A,"&gt;="&amp;SemesterStart,Sessions!$A:$A,"&lt;="&amp;SemesterEnd))</f>
        <v/>
      </c>
      <c r="F232" s="10">
        <f>IF($B232="","",SUMIFS(Sessions!$F:$F,Sessions!$B:$B,$B232,Sessions!$G:$G,"Waiting",Sessions!$A:$A,"&gt;="&amp;SemesterStart,Sessions!$A:$A,"&lt;="&amp;SemesterEnd))</f>
        <v/>
      </c>
      <c r="G232" s="16">
        <f>IF($B232="","",MIN(1,E232/RequiredHours))</f>
        <v/>
      </c>
      <c r="H232" s="9">
        <f>IF($B232="","",IF(E232&gt;=RequiredHours,"Done","In progress"))</f>
        <v/>
      </c>
      <c r="I232" s="10">
        <f>IF($B232="","",MAX(0,RequiredHours-E232))</f>
        <v/>
      </c>
    </row>
    <row r="233">
      <c r="A233" s="9" t="n"/>
      <c r="B233" s="9" t="n"/>
      <c r="C233" s="9" t="n"/>
      <c r="D233" s="15" t="n"/>
      <c r="E233" s="10">
        <f>IF($B233="","",SUMIFS(Sessions!$I:$I,Sessions!$B:$B,$B233,Sessions!$A:$A,"&gt;="&amp;SemesterStart,Sessions!$A:$A,"&lt;="&amp;SemesterEnd))</f>
        <v/>
      </c>
      <c r="F233" s="10">
        <f>IF($B233="","",SUMIFS(Sessions!$F:$F,Sessions!$B:$B,$B233,Sessions!$G:$G,"Waiting",Sessions!$A:$A,"&gt;="&amp;SemesterStart,Sessions!$A:$A,"&lt;="&amp;SemesterEnd))</f>
        <v/>
      </c>
      <c r="G233" s="16">
        <f>IF($B233="","",MIN(1,E233/RequiredHours))</f>
        <v/>
      </c>
      <c r="H233" s="9">
        <f>IF($B233="","",IF(E233&gt;=RequiredHours,"Done","In progress"))</f>
        <v/>
      </c>
      <c r="I233" s="10">
        <f>IF($B233="","",MAX(0,RequiredHours-E233))</f>
        <v/>
      </c>
    </row>
    <row r="234">
      <c r="A234" s="9" t="n"/>
      <c r="B234" s="9" t="n"/>
      <c r="C234" s="9" t="n"/>
      <c r="D234" s="15" t="n"/>
      <c r="E234" s="10">
        <f>IF($B234="","",SUMIFS(Sessions!$I:$I,Sessions!$B:$B,$B234,Sessions!$A:$A,"&gt;="&amp;SemesterStart,Sessions!$A:$A,"&lt;="&amp;SemesterEnd))</f>
        <v/>
      </c>
      <c r="F234" s="10">
        <f>IF($B234="","",SUMIFS(Sessions!$F:$F,Sessions!$B:$B,$B234,Sessions!$G:$G,"Waiting",Sessions!$A:$A,"&gt;="&amp;SemesterStart,Sessions!$A:$A,"&lt;="&amp;SemesterEnd))</f>
        <v/>
      </c>
      <c r="G234" s="16">
        <f>IF($B234="","",MIN(1,E234/RequiredHours))</f>
        <v/>
      </c>
      <c r="H234" s="9">
        <f>IF($B234="","",IF(E234&gt;=RequiredHours,"Done","In progress"))</f>
        <v/>
      </c>
      <c r="I234" s="10">
        <f>IF($B234="","",MAX(0,RequiredHours-E234))</f>
        <v/>
      </c>
    </row>
    <row r="235">
      <c r="A235" s="9" t="n"/>
      <c r="B235" s="9" t="n"/>
      <c r="C235" s="9" t="n"/>
      <c r="D235" s="15" t="n"/>
      <c r="E235" s="10">
        <f>IF($B235="","",SUMIFS(Sessions!$I:$I,Sessions!$B:$B,$B235,Sessions!$A:$A,"&gt;="&amp;SemesterStart,Sessions!$A:$A,"&lt;="&amp;SemesterEnd))</f>
        <v/>
      </c>
      <c r="F235" s="10">
        <f>IF($B235="","",SUMIFS(Sessions!$F:$F,Sessions!$B:$B,$B235,Sessions!$G:$G,"Waiting",Sessions!$A:$A,"&gt;="&amp;SemesterStart,Sessions!$A:$A,"&lt;="&amp;SemesterEnd))</f>
        <v/>
      </c>
      <c r="G235" s="16">
        <f>IF($B235="","",MIN(1,E235/RequiredHours))</f>
        <v/>
      </c>
      <c r="H235" s="9">
        <f>IF($B235="","",IF(E235&gt;=RequiredHours,"Done","In progress"))</f>
        <v/>
      </c>
      <c r="I235" s="10">
        <f>IF($B235="","",MAX(0,RequiredHours-E235))</f>
        <v/>
      </c>
    </row>
    <row r="236">
      <c r="A236" s="9" t="n"/>
      <c r="B236" s="9" t="n"/>
      <c r="C236" s="9" t="n"/>
      <c r="D236" s="15" t="n"/>
      <c r="E236" s="10">
        <f>IF($B236="","",SUMIFS(Sessions!$I:$I,Sessions!$B:$B,$B236,Sessions!$A:$A,"&gt;="&amp;SemesterStart,Sessions!$A:$A,"&lt;="&amp;SemesterEnd))</f>
        <v/>
      </c>
      <c r="F236" s="10">
        <f>IF($B236="","",SUMIFS(Sessions!$F:$F,Sessions!$B:$B,$B236,Sessions!$G:$G,"Waiting",Sessions!$A:$A,"&gt;="&amp;SemesterStart,Sessions!$A:$A,"&lt;="&amp;SemesterEnd))</f>
        <v/>
      </c>
      <c r="G236" s="16">
        <f>IF($B236="","",MIN(1,E236/RequiredHours))</f>
        <v/>
      </c>
      <c r="H236" s="9">
        <f>IF($B236="","",IF(E236&gt;=RequiredHours,"Done","In progress"))</f>
        <v/>
      </c>
      <c r="I236" s="10">
        <f>IF($B236="","",MAX(0,RequiredHours-E236))</f>
        <v/>
      </c>
    </row>
    <row r="237">
      <c r="A237" s="9" t="n"/>
      <c r="B237" s="9" t="n"/>
      <c r="C237" s="9" t="n"/>
      <c r="D237" s="15" t="n"/>
      <c r="E237" s="10">
        <f>IF($B237="","",SUMIFS(Sessions!$I:$I,Sessions!$B:$B,$B237,Sessions!$A:$A,"&gt;="&amp;SemesterStart,Sessions!$A:$A,"&lt;="&amp;SemesterEnd))</f>
        <v/>
      </c>
      <c r="F237" s="10">
        <f>IF($B237="","",SUMIFS(Sessions!$F:$F,Sessions!$B:$B,$B237,Sessions!$G:$G,"Waiting",Sessions!$A:$A,"&gt;="&amp;SemesterStart,Sessions!$A:$A,"&lt;="&amp;SemesterEnd))</f>
        <v/>
      </c>
      <c r="G237" s="16">
        <f>IF($B237="","",MIN(1,E237/RequiredHours))</f>
        <v/>
      </c>
      <c r="H237" s="9">
        <f>IF($B237="","",IF(E237&gt;=RequiredHours,"Done","In progress"))</f>
        <v/>
      </c>
      <c r="I237" s="10">
        <f>IF($B237="","",MAX(0,RequiredHours-E237))</f>
        <v/>
      </c>
    </row>
    <row r="238">
      <c r="A238" s="9" t="n"/>
      <c r="B238" s="9" t="n"/>
      <c r="C238" s="9" t="n"/>
      <c r="D238" s="15" t="n"/>
      <c r="E238" s="10">
        <f>IF($B238="","",SUMIFS(Sessions!$I:$I,Sessions!$B:$B,$B238,Sessions!$A:$A,"&gt;="&amp;SemesterStart,Sessions!$A:$A,"&lt;="&amp;SemesterEnd))</f>
        <v/>
      </c>
      <c r="F238" s="10">
        <f>IF($B238="","",SUMIFS(Sessions!$F:$F,Sessions!$B:$B,$B238,Sessions!$G:$G,"Waiting",Sessions!$A:$A,"&gt;="&amp;SemesterStart,Sessions!$A:$A,"&lt;="&amp;SemesterEnd))</f>
        <v/>
      </c>
      <c r="G238" s="16">
        <f>IF($B238="","",MIN(1,E238/RequiredHours))</f>
        <v/>
      </c>
      <c r="H238" s="9">
        <f>IF($B238="","",IF(E238&gt;=RequiredHours,"Done","In progress"))</f>
        <v/>
      </c>
      <c r="I238" s="10">
        <f>IF($B238="","",MAX(0,RequiredHours-E238))</f>
        <v/>
      </c>
    </row>
    <row r="239">
      <c r="A239" s="9" t="n"/>
      <c r="B239" s="9" t="n"/>
      <c r="C239" s="9" t="n"/>
      <c r="D239" s="15" t="n"/>
      <c r="E239" s="10">
        <f>IF($B239="","",SUMIFS(Sessions!$I:$I,Sessions!$B:$B,$B239,Sessions!$A:$A,"&gt;="&amp;SemesterStart,Sessions!$A:$A,"&lt;="&amp;SemesterEnd))</f>
        <v/>
      </c>
      <c r="F239" s="10">
        <f>IF($B239="","",SUMIFS(Sessions!$F:$F,Sessions!$B:$B,$B239,Sessions!$G:$G,"Waiting",Sessions!$A:$A,"&gt;="&amp;SemesterStart,Sessions!$A:$A,"&lt;="&amp;SemesterEnd))</f>
        <v/>
      </c>
      <c r="G239" s="16">
        <f>IF($B239="","",MIN(1,E239/RequiredHours))</f>
        <v/>
      </c>
      <c r="H239" s="9">
        <f>IF($B239="","",IF(E239&gt;=RequiredHours,"Done","In progress"))</f>
        <v/>
      </c>
      <c r="I239" s="10">
        <f>IF($B239="","",MAX(0,RequiredHours-E239))</f>
        <v/>
      </c>
    </row>
    <row r="240">
      <c r="A240" s="9" t="n"/>
      <c r="B240" s="9" t="n"/>
      <c r="C240" s="9" t="n"/>
      <c r="D240" s="15" t="n"/>
      <c r="E240" s="10">
        <f>IF($B240="","",SUMIFS(Sessions!$I:$I,Sessions!$B:$B,$B240,Sessions!$A:$A,"&gt;="&amp;SemesterStart,Sessions!$A:$A,"&lt;="&amp;SemesterEnd))</f>
        <v/>
      </c>
      <c r="F240" s="10">
        <f>IF($B240="","",SUMIFS(Sessions!$F:$F,Sessions!$B:$B,$B240,Sessions!$G:$G,"Waiting",Sessions!$A:$A,"&gt;="&amp;SemesterStart,Sessions!$A:$A,"&lt;="&amp;SemesterEnd))</f>
        <v/>
      </c>
      <c r="G240" s="16">
        <f>IF($B240="","",MIN(1,E240/RequiredHours))</f>
        <v/>
      </c>
      <c r="H240" s="9">
        <f>IF($B240="","",IF(E240&gt;=RequiredHours,"Done","In progress"))</f>
        <v/>
      </c>
      <c r="I240" s="10">
        <f>IF($B240="","",MAX(0,RequiredHours-E240))</f>
        <v/>
      </c>
    </row>
    <row r="241">
      <c r="A241" s="9" t="n"/>
      <c r="B241" s="9" t="n"/>
      <c r="C241" s="9" t="n"/>
      <c r="D241" s="15" t="n"/>
      <c r="E241" s="10">
        <f>IF($B241="","",SUMIFS(Sessions!$I:$I,Sessions!$B:$B,$B241,Sessions!$A:$A,"&gt;="&amp;SemesterStart,Sessions!$A:$A,"&lt;="&amp;SemesterEnd))</f>
        <v/>
      </c>
      <c r="F241" s="10">
        <f>IF($B241="","",SUMIFS(Sessions!$F:$F,Sessions!$B:$B,$B241,Sessions!$G:$G,"Waiting",Sessions!$A:$A,"&gt;="&amp;SemesterStart,Sessions!$A:$A,"&lt;="&amp;SemesterEnd))</f>
        <v/>
      </c>
      <c r="G241" s="16">
        <f>IF($B241="","",MIN(1,E241/RequiredHours))</f>
        <v/>
      </c>
      <c r="H241" s="9">
        <f>IF($B241="","",IF(E241&gt;=RequiredHours,"Done","In progress"))</f>
        <v/>
      </c>
      <c r="I241" s="10">
        <f>IF($B241="","",MAX(0,RequiredHours-E241))</f>
        <v/>
      </c>
    </row>
    <row r="242">
      <c r="A242" s="9" t="n"/>
      <c r="B242" s="9" t="n"/>
      <c r="C242" s="9" t="n"/>
      <c r="D242" s="15" t="n"/>
      <c r="E242" s="10">
        <f>IF($B242="","",SUMIFS(Sessions!$I:$I,Sessions!$B:$B,$B242,Sessions!$A:$A,"&gt;="&amp;SemesterStart,Sessions!$A:$A,"&lt;="&amp;SemesterEnd))</f>
        <v/>
      </c>
      <c r="F242" s="10">
        <f>IF($B242="","",SUMIFS(Sessions!$F:$F,Sessions!$B:$B,$B242,Sessions!$G:$G,"Waiting",Sessions!$A:$A,"&gt;="&amp;SemesterStart,Sessions!$A:$A,"&lt;="&amp;SemesterEnd))</f>
        <v/>
      </c>
      <c r="G242" s="16">
        <f>IF($B242="","",MIN(1,E242/RequiredHours))</f>
        <v/>
      </c>
      <c r="H242" s="9">
        <f>IF($B242="","",IF(E242&gt;=RequiredHours,"Done","In progress"))</f>
        <v/>
      </c>
      <c r="I242" s="10">
        <f>IF($B242="","",MAX(0,RequiredHours-E242))</f>
        <v/>
      </c>
    </row>
    <row r="243">
      <c r="A243" s="9" t="n"/>
      <c r="B243" s="9" t="n"/>
      <c r="C243" s="9" t="n"/>
      <c r="D243" s="15" t="n"/>
      <c r="E243" s="10">
        <f>IF($B243="","",SUMIFS(Sessions!$I:$I,Sessions!$B:$B,$B243,Sessions!$A:$A,"&gt;="&amp;SemesterStart,Sessions!$A:$A,"&lt;="&amp;SemesterEnd))</f>
        <v/>
      </c>
      <c r="F243" s="10">
        <f>IF($B243="","",SUMIFS(Sessions!$F:$F,Sessions!$B:$B,$B243,Sessions!$G:$G,"Waiting",Sessions!$A:$A,"&gt;="&amp;SemesterStart,Sessions!$A:$A,"&lt;="&amp;SemesterEnd))</f>
        <v/>
      </c>
      <c r="G243" s="16">
        <f>IF($B243="","",MIN(1,E243/RequiredHours))</f>
        <v/>
      </c>
      <c r="H243" s="9">
        <f>IF($B243="","",IF(E243&gt;=RequiredHours,"Done","In progress"))</f>
        <v/>
      </c>
      <c r="I243" s="10">
        <f>IF($B243="","",MAX(0,RequiredHours-E243))</f>
        <v/>
      </c>
    </row>
    <row r="244">
      <c r="A244" s="9" t="n"/>
      <c r="B244" s="9" t="n"/>
      <c r="C244" s="9" t="n"/>
      <c r="D244" s="15" t="n"/>
      <c r="E244" s="10">
        <f>IF($B244="","",SUMIFS(Sessions!$I:$I,Sessions!$B:$B,$B244,Sessions!$A:$A,"&gt;="&amp;SemesterStart,Sessions!$A:$A,"&lt;="&amp;SemesterEnd))</f>
        <v/>
      </c>
      <c r="F244" s="10">
        <f>IF($B244="","",SUMIFS(Sessions!$F:$F,Sessions!$B:$B,$B244,Sessions!$G:$G,"Waiting",Sessions!$A:$A,"&gt;="&amp;SemesterStart,Sessions!$A:$A,"&lt;="&amp;SemesterEnd))</f>
        <v/>
      </c>
      <c r="G244" s="16">
        <f>IF($B244="","",MIN(1,E244/RequiredHours))</f>
        <v/>
      </c>
      <c r="H244" s="9">
        <f>IF($B244="","",IF(E244&gt;=RequiredHours,"Done","In progress"))</f>
        <v/>
      </c>
      <c r="I244" s="10">
        <f>IF($B244="","",MAX(0,RequiredHours-E244))</f>
        <v/>
      </c>
    </row>
    <row r="245">
      <c r="A245" s="9" t="n"/>
      <c r="B245" s="9" t="n"/>
      <c r="C245" s="9" t="n"/>
      <c r="D245" s="15" t="n"/>
      <c r="E245" s="10">
        <f>IF($B245="","",SUMIFS(Sessions!$I:$I,Sessions!$B:$B,$B245,Sessions!$A:$A,"&gt;="&amp;SemesterStart,Sessions!$A:$A,"&lt;="&amp;SemesterEnd))</f>
        <v/>
      </c>
      <c r="F245" s="10">
        <f>IF($B245="","",SUMIFS(Sessions!$F:$F,Sessions!$B:$B,$B245,Sessions!$G:$G,"Waiting",Sessions!$A:$A,"&gt;="&amp;SemesterStart,Sessions!$A:$A,"&lt;="&amp;SemesterEnd))</f>
        <v/>
      </c>
      <c r="G245" s="16">
        <f>IF($B245="","",MIN(1,E245/RequiredHours))</f>
        <v/>
      </c>
      <c r="H245" s="9">
        <f>IF($B245="","",IF(E245&gt;=RequiredHours,"Done","In progress"))</f>
        <v/>
      </c>
      <c r="I245" s="10">
        <f>IF($B245="","",MAX(0,RequiredHours-E245))</f>
        <v/>
      </c>
    </row>
    <row r="246">
      <c r="A246" s="9" t="n"/>
      <c r="B246" s="9" t="n"/>
      <c r="C246" s="9" t="n"/>
      <c r="D246" s="15" t="n"/>
      <c r="E246" s="10">
        <f>IF($B246="","",SUMIFS(Sessions!$I:$I,Sessions!$B:$B,$B246,Sessions!$A:$A,"&gt;="&amp;SemesterStart,Sessions!$A:$A,"&lt;="&amp;SemesterEnd))</f>
        <v/>
      </c>
      <c r="F246" s="10">
        <f>IF($B246="","",SUMIFS(Sessions!$F:$F,Sessions!$B:$B,$B246,Sessions!$G:$G,"Waiting",Sessions!$A:$A,"&gt;="&amp;SemesterStart,Sessions!$A:$A,"&lt;="&amp;SemesterEnd))</f>
        <v/>
      </c>
      <c r="G246" s="16">
        <f>IF($B246="","",MIN(1,E246/RequiredHours))</f>
        <v/>
      </c>
      <c r="H246" s="9">
        <f>IF($B246="","",IF(E246&gt;=RequiredHours,"Done","In progress"))</f>
        <v/>
      </c>
      <c r="I246" s="10">
        <f>IF($B246="","",MAX(0,RequiredHours-E246))</f>
        <v/>
      </c>
    </row>
    <row r="247">
      <c r="A247" s="9" t="n"/>
      <c r="B247" s="9" t="n"/>
      <c r="C247" s="9" t="n"/>
      <c r="D247" s="15" t="n"/>
      <c r="E247" s="10">
        <f>IF($B247="","",SUMIFS(Sessions!$I:$I,Sessions!$B:$B,$B247,Sessions!$A:$A,"&gt;="&amp;SemesterStart,Sessions!$A:$A,"&lt;="&amp;SemesterEnd))</f>
        <v/>
      </c>
      <c r="F247" s="10">
        <f>IF($B247="","",SUMIFS(Sessions!$F:$F,Sessions!$B:$B,$B247,Sessions!$G:$G,"Waiting",Sessions!$A:$A,"&gt;="&amp;SemesterStart,Sessions!$A:$A,"&lt;="&amp;SemesterEnd))</f>
        <v/>
      </c>
      <c r="G247" s="16">
        <f>IF($B247="","",MIN(1,E247/RequiredHours))</f>
        <v/>
      </c>
      <c r="H247" s="9">
        <f>IF($B247="","",IF(E247&gt;=RequiredHours,"Done","In progress"))</f>
        <v/>
      </c>
      <c r="I247" s="10">
        <f>IF($B247="","",MAX(0,RequiredHours-E247))</f>
        <v/>
      </c>
    </row>
    <row r="248">
      <c r="A248" s="9" t="n"/>
      <c r="B248" s="9" t="n"/>
      <c r="C248" s="9" t="n"/>
      <c r="D248" s="15" t="n"/>
      <c r="E248" s="10">
        <f>IF($B248="","",SUMIFS(Sessions!$I:$I,Sessions!$B:$B,$B248,Sessions!$A:$A,"&gt;="&amp;SemesterStart,Sessions!$A:$A,"&lt;="&amp;SemesterEnd))</f>
        <v/>
      </c>
      <c r="F248" s="10">
        <f>IF($B248="","",SUMIFS(Sessions!$F:$F,Sessions!$B:$B,$B248,Sessions!$G:$G,"Waiting",Sessions!$A:$A,"&gt;="&amp;SemesterStart,Sessions!$A:$A,"&lt;="&amp;SemesterEnd))</f>
        <v/>
      </c>
      <c r="G248" s="16">
        <f>IF($B248="","",MIN(1,E248/RequiredHours))</f>
        <v/>
      </c>
      <c r="H248" s="9">
        <f>IF($B248="","",IF(E248&gt;=RequiredHours,"Done","In progress"))</f>
        <v/>
      </c>
      <c r="I248" s="10">
        <f>IF($B248="","",MAX(0,RequiredHours-E248))</f>
        <v/>
      </c>
    </row>
    <row r="249">
      <c r="A249" s="9" t="n"/>
      <c r="B249" s="9" t="n"/>
      <c r="C249" s="9" t="n"/>
      <c r="D249" s="15" t="n"/>
      <c r="E249" s="10">
        <f>IF($B249="","",SUMIFS(Sessions!$I:$I,Sessions!$B:$B,$B249,Sessions!$A:$A,"&gt;="&amp;SemesterStart,Sessions!$A:$A,"&lt;="&amp;SemesterEnd))</f>
        <v/>
      </c>
      <c r="F249" s="10">
        <f>IF($B249="","",SUMIFS(Sessions!$F:$F,Sessions!$B:$B,$B249,Sessions!$G:$G,"Waiting",Sessions!$A:$A,"&gt;="&amp;SemesterStart,Sessions!$A:$A,"&lt;="&amp;SemesterEnd))</f>
        <v/>
      </c>
      <c r="G249" s="16">
        <f>IF($B249="","",MIN(1,E249/RequiredHours))</f>
        <v/>
      </c>
      <c r="H249" s="9">
        <f>IF($B249="","",IF(E249&gt;=RequiredHours,"Done","In progress"))</f>
        <v/>
      </c>
      <c r="I249" s="10">
        <f>IF($B249="","",MAX(0,RequiredHours-E249))</f>
        <v/>
      </c>
    </row>
    <row r="250">
      <c r="A250" s="9" t="n"/>
      <c r="B250" s="9" t="n"/>
      <c r="C250" s="9" t="n"/>
      <c r="D250" s="15" t="n"/>
      <c r="E250" s="10">
        <f>IF($B250="","",SUMIFS(Sessions!$I:$I,Sessions!$B:$B,$B250,Sessions!$A:$A,"&gt;="&amp;SemesterStart,Sessions!$A:$A,"&lt;="&amp;SemesterEnd))</f>
        <v/>
      </c>
      <c r="F250" s="10">
        <f>IF($B250="","",SUMIFS(Sessions!$F:$F,Sessions!$B:$B,$B250,Sessions!$G:$G,"Waiting",Sessions!$A:$A,"&gt;="&amp;SemesterStart,Sessions!$A:$A,"&lt;="&amp;SemesterEnd))</f>
        <v/>
      </c>
      <c r="G250" s="16">
        <f>IF($B250="","",MIN(1,E250/RequiredHours))</f>
        <v/>
      </c>
      <c r="H250" s="9">
        <f>IF($B250="","",IF(E250&gt;=RequiredHours,"Done","In progress"))</f>
        <v/>
      </c>
      <c r="I250" s="10">
        <f>IF($B250="","",MAX(0,RequiredHours-E250))</f>
        <v/>
      </c>
    </row>
    <row r="251">
      <c r="A251" s="9" t="n"/>
      <c r="B251" s="9" t="n"/>
      <c r="C251" s="9" t="n"/>
      <c r="D251" s="15" t="n"/>
      <c r="E251" s="10">
        <f>IF($B251="","",SUMIFS(Sessions!$I:$I,Sessions!$B:$B,$B251,Sessions!$A:$A,"&gt;="&amp;SemesterStart,Sessions!$A:$A,"&lt;="&amp;SemesterEnd))</f>
        <v/>
      </c>
      <c r="F251" s="10">
        <f>IF($B251="","",SUMIFS(Sessions!$F:$F,Sessions!$B:$B,$B251,Sessions!$G:$G,"Waiting",Sessions!$A:$A,"&gt;="&amp;SemesterStart,Sessions!$A:$A,"&lt;="&amp;SemesterEnd))</f>
        <v/>
      </c>
      <c r="G251" s="16">
        <f>IF($B251="","",MIN(1,E251/RequiredHours))</f>
        <v/>
      </c>
      <c r="H251" s="9">
        <f>IF($B251="","",IF(E251&gt;=RequiredHours,"Done","In progress"))</f>
        <v/>
      </c>
      <c r="I251" s="10">
        <f>IF($B251="","",MAX(0,RequiredHours-E251))</f>
        <v/>
      </c>
    </row>
    <row r="252">
      <c r="A252" s="9" t="n"/>
      <c r="B252" s="9" t="n"/>
      <c r="C252" s="9" t="n"/>
      <c r="D252" s="15" t="n"/>
      <c r="E252" s="10">
        <f>IF($B252="","",SUMIFS(Sessions!$I:$I,Sessions!$B:$B,$B252,Sessions!$A:$A,"&gt;="&amp;SemesterStart,Sessions!$A:$A,"&lt;="&amp;SemesterEnd))</f>
        <v/>
      </c>
      <c r="F252" s="10">
        <f>IF($B252="","",SUMIFS(Sessions!$F:$F,Sessions!$B:$B,$B252,Sessions!$G:$G,"Waiting",Sessions!$A:$A,"&gt;="&amp;SemesterStart,Sessions!$A:$A,"&lt;="&amp;SemesterEnd))</f>
        <v/>
      </c>
      <c r="G252" s="16">
        <f>IF($B252="","",MIN(1,E252/RequiredHours))</f>
        <v/>
      </c>
      <c r="H252" s="9">
        <f>IF($B252="","",IF(E252&gt;=RequiredHours,"Done","In progress"))</f>
        <v/>
      </c>
      <c r="I252" s="10">
        <f>IF($B252="","",MAX(0,RequiredHours-E252))</f>
        <v/>
      </c>
    </row>
    <row r="253">
      <c r="A253" s="9" t="n"/>
      <c r="B253" s="9" t="n"/>
      <c r="C253" s="9" t="n"/>
      <c r="D253" s="15" t="n"/>
      <c r="E253" s="10">
        <f>IF($B253="","",SUMIFS(Sessions!$I:$I,Sessions!$B:$B,$B253,Sessions!$A:$A,"&gt;="&amp;SemesterStart,Sessions!$A:$A,"&lt;="&amp;SemesterEnd))</f>
        <v/>
      </c>
      <c r="F253" s="10">
        <f>IF($B253="","",SUMIFS(Sessions!$F:$F,Sessions!$B:$B,$B253,Sessions!$G:$G,"Waiting",Sessions!$A:$A,"&gt;="&amp;SemesterStart,Sessions!$A:$A,"&lt;="&amp;SemesterEnd))</f>
        <v/>
      </c>
      <c r="G253" s="16">
        <f>IF($B253="","",MIN(1,E253/RequiredHours))</f>
        <v/>
      </c>
      <c r="H253" s="9">
        <f>IF($B253="","",IF(E253&gt;=RequiredHours,"Done","In progress"))</f>
        <v/>
      </c>
      <c r="I253" s="10">
        <f>IF($B253="","",MAX(0,RequiredHours-E253))</f>
        <v/>
      </c>
    </row>
    <row r="254">
      <c r="A254" s="9" t="n"/>
      <c r="B254" s="9" t="n"/>
      <c r="C254" s="9" t="n"/>
      <c r="D254" s="15" t="n"/>
      <c r="E254" s="10">
        <f>IF($B254="","",SUMIFS(Sessions!$I:$I,Sessions!$B:$B,$B254,Sessions!$A:$A,"&gt;="&amp;SemesterStart,Sessions!$A:$A,"&lt;="&amp;SemesterEnd))</f>
        <v/>
      </c>
      <c r="F254" s="10">
        <f>IF($B254="","",SUMIFS(Sessions!$F:$F,Sessions!$B:$B,$B254,Sessions!$G:$G,"Waiting",Sessions!$A:$A,"&gt;="&amp;SemesterStart,Sessions!$A:$A,"&lt;="&amp;SemesterEnd))</f>
        <v/>
      </c>
      <c r="G254" s="16">
        <f>IF($B254="","",MIN(1,E254/RequiredHours))</f>
        <v/>
      </c>
      <c r="H254" s="9">
        <f>IF($B254="","",IF(E254&gt;=RequiredHours,"Done","In progress"))</f>
        <v/>
      </c>
      <c r="I254" s="10">
        <f>IF($B254="","",MAX(0,RequiredHours-E254))</f>
        <v/>
      </c>
    </row>
    <row r="255">
      <c r="A255" s="9" t="n"/>
      <c r="B255" s="9" t="n"/>
      <c r="C255" s="9" t="n"/>
      <c r="D255" s="15" t="n"/>
      <c r="E255" s="10">
        <f>IF($B255="","",SUMIFS(Sessions!$I:$I,Sessions!$B:$B,$B255,Sessions!$A:$A,"&gt;="&amp;SemesterStart,Sessions!$A:$A,"&lt;="&amp;SemesterEnd))</f>
        <v/>
      </c>
      <c r="F255" s="10">
        <f>IF($B255="","",SUMIFS(Sessions!$F:$F,Sessions!$B:$B,$B255,Sessions!$G:$G,"Waiting",Sessions!$A:$A,"&gt;="&amp;SemesterStart,Sessions!$A:$A,"&lt;="&amp;SemesterEnd))</f>
        <v/>
      </c>
      <c r="G255" s="16">
        <f>IF($B255="","",MIN(1,E255/RequiredHours))</f>
        <v/>
      </c>
      <c r="H255" s="9">
        <f>IF($B255="","",IF(E255&gt;=RequiredHours,"Done","In progress"))</f>
        <v/>
      </c>
      <c r="I255" s="10">
        <f>IF($B255="","",MAX(0,RequiredHours-E255))</f>
        <v/>
      </c>
    </row>
    <row r="256">
      <c r="A256" s="9" t="n"/>
      <c r="B256" s="9" t="n"/>
      <c r="C256" s="9" t="n"/>
      <c r="D256" s="15" t="n"/>
      <c r="E256" s="10">
        <f>IF($B256="","",SUMIFS(Sessions!$I:$I,Sessions!$B:$B,$B256,Sessions!$A:$A,"&gt;="&amp;SemesterStart,Sessions!$A:$A,"&lt;="&amp;SemesterEnd))</f>
        <v/>
      </c>
      <c r="F256" s="10">
        <f>IF($B256="","",SUMIFS(Sessions!$F:$F,Sessions!$B:$B,$B256,Sessions!$G:$G,"Waiting",Sessions!$A:$A,"&gt;="&amp;SemesterStart,Sessions!$A:$A,"&lt;="&amp;SemesterEnd))</f>
        <v/>
      </c>
      <c r="G256" s="16">
        <f>IF($B256="","",MIN(1,E256/RequiredHours))</f>
        <v/>
      </c>
      <c r="H256" s="9">
        <f>IF($B256="","",IF(E256&gt;=RequiredHours,"Done","In progress"))</f>
        <v/>
      </c>
      <c r="I256" s="10">
        <f>IF($B256="","",MAX(0,RequiredHours-E256))</f>
        <v/>
      </c>
    </row>
    <row r="257">
      <c r="A257" s="9" t="n"/>
      <c r="B257" s="9" t="n"/>
      <c r="C257" s="9" t="n"/>
      <c r="D257" s="15" t="n"/>
      <c r="E257" s="10">
        <f>IF($B257="","",SUMIFS(Sessions!$I:$I,Sessions!$B:$B,$B257,Sessions!$A:$A,"&gt;="&amp;SemesterStart,Sessions!$A:$A,"&lt;="&amp;SemesterEnd))</f>
        <v/>
      </c>
      <c r="F257" s="10">
        <f>IF($B257="","",SUMIFS(Sessions!$F:$F,Sessions!$B:$B,$B257,Sessions!$G:$G,"Waiting",Sessions!$A:$A,"&gt;="&amp;SemesterStart,Sessions!$A:$A,"&lt;="&amp;SemesterEnd))</f>
        <v/>
      </c>
      <c r="G257" s="16">
        <f>IF($B257="","",MIN(1,E257/RequiredHours))</f>
        <v/>
      </c>
      <c r="H257" s="9">
        <f>IF($B257="","",IF(E257&gt;=RequiredHours,"Done","In progress"))</f>
        <v/>
      </c>
      <c r="I257" s="10">
        <f>IF($B257="","",MAX(0,RequiredHours-E257))</f>
        <v/>
      </c>
    </row>
    <row r="258">
      <c r="A258" s="9" t="n"/>
      <c r="B258" s="9" t="n"/>
      <c r="C258" s="9" t="n"/>
      <c r="D258" s="15" t="n"/>
      <c r="E258" s="10">
        <f>IF($B258="","",SUMIFS(Sessions!$I:$I,Sessions!$B:$B,$B258,Sessions!$A:$A,"&gt;="&amp;SemesterStart,Sessions!$A:$A,"&lt;="&amp;SemesterEnd))</f>
        <v/>
      </c>
      <c r="F258" s="10">
        <f>IF($B258="","",SUMIFS(Sessions!$F:$F,Sessions!$B:$B,$B258,Sessions!$G:$G,"Waiting",Sessions!$A:$A,"&gt;="&amp;SemesterStart,Sessions!$A:$A,"&lt;="&amp;SemesterEnd))</f>
        <v/>
      </c>
      <c r="G258" s="16">
        <f>IF($B258="","",MIN(1,E258/RequiredHours))</f>
        <v/>
      </c>
      <c r="H258" s="9">
        <f>IF($B258="","",IF(E258&gt;=RequiredHours,"Done","In progress"))</f>
        <v/>
      </c>
      <c r="I258" s="10">
        <f>IF($B258="","",MAX(0,RequiredHours-E258))</f>
        <v/>
      </c>
    </row>
    <row r="259">
      <c r="A259" s="9" t="n"/>
      <c r="B259" s="9" t="n"/>
      <c r="C259" s="9" t="n"/>
      <c r="D259" s="15" t="n"/>
      <c r="E259" s="10">
        <f>IF($B259="","",SUMIFS(Sessions!$I:$I,Sessions!$B:$B,$B259,Sessions!$A:$A,"&gt;="&amp;SemesterStart,Sessions!$A:$A,"&lt;="&amp;SemesterEnd))</f>
        <v/>
      </c>
      <c r="F259" s="10">
        <f>IF($B259="","",SUMIFS(Sessions!$F:$F,Sessions!$B:$B,$B259,Sessions!$G:$G,"Waiting",Sessions!$A:$A,"&gt;="&amp;SemesterStart,Sessions!$A:$A,"&lt;="&amp;SemesterEnd))</f>
        <v/>
      </c>
      <c r="G259" s="16">
        <f>IF($B259="","",MIN(1,E259/RequiredHours))</f>
        <v/>
      </c>
      <c r="H259" s="9">
        <f>IF($B259="","",IF(E259&gt;=RequiredHours,"Done","In progress"))</f>
        <v/>
      </c>
      <c r="I259" s="10">
        <f>IF($B259="","",MAX(0,RequiredHours-E259))</f>
        <v/>
      </c>
    </row>
    <row r="260">
      <c r="A260" s="9" t="n"/>
      <c r="B260" s="9" t="n"/>
      <c r="C260" s="9" t="n"/>
      <c r="D260" s="15" t="n"/>
      <c r="E260" s="10">
        <f>IF($B260="","",SUMIFS(Sessions!$I:$I,Sessions!$B:$B,$B260,Sessions!$A:$A,"&gt;="&amp;SemesterStart,Sessions!$A:$A,"&lt;="&amp;SemesterEnd))</f>
        <v/>
      </c>
      <c r="F260" s="10">
        <f>IF($B260="","",SUMIFS(Sessions!$F:$F,Sessions!$B:$B,$B260,Sessions!$G:$G,"Waiting",Sessions!$A:$A,"&gt;="&amp;SemesterStart,Sessions!$A:$A,"&lt;="&amp;SemesterEnd))</f>
        <v/>
      </c>
      <c r="G260" s="16">
        <f>IF($B260="","",MIN(1,E260/RequiredHours))</f>
        <v/>
      </c>
      <c r="H260" s="9">
        <f>IF($B260="","",IF(E260&gt;=RequiredHours,"Done","In progress"))</f>
        <v/>
      </c>
      <c r="I260" s="10">
        <f>IF($B260="","",MAX(0,RequiredHours-E260))</f>
        <v/>
      </c>
    </row>
    <row r="261">
      <c r="A261" s="9" t="n"/>
      <c r="B261" s="9" t="n"/>
      <c r="C261" s="9" t="n"/>
      <c r="D261" s="15" t="n"/>
      <c r="E261" s="10">
        <f>IF($B261="","",SUMIFS(Sessions!$I:$I,Sessions!$B:$B,$B261,Sessions!$A:$A,"&gt;="&amp;SemesterStart,Sessions!$A:$A,"&lt;="&amp;SemesterEnd))</f>
        <v/>
      </c>
      <c r="F261" s="10">
        <f>IF($B261="","",SUMIFS(Sessions!$F:$F,Sessions!$B:$B,$B261,Sessions!$G:$G,"Waiting",Sessions!$A:$A,"&gt;="&amp;SemesterStart,Sessions!$A:$A,"&lt;="&amp;SemesterEnd))</f>
        <v/>
      </c>
      <c r="G261" s="16">
        <f>IF($B261="","",MIN(1,E261/RequiredHours))</f>
        <v/>
      </c>
      <c r="H261" s="9">
        <f>IF($B261="","",IF(E261&gt;=RequiredHours,"Done","In progress"))</f>
        <v/>
      </c>
      <c r="I261" s="10">
        <f>IF($B261="","",MAX(0,RequiredHours-E261))</f>
        <v/>
      </c>
    </row>
    <row r="262">
      <c r="A262" s="9" t="n"/>
      <c r="B262" s="9" t="n"/>
      <c r="C262" s="9" t="n"/>
      <c r="D262" s="15" t="n"/>
      <c r="E262" s="10">
        <f>IF($B262="","",SUMIFS(Sessions!$I:$I,Sessions!$B:$B,$B262,Sessions!$A:$A,"&gt;="&amp;SemesterStart,Sessions!$A:$A,"&lt;="&amp;SemesterEnd))</f>
        <v/>
      </c>
      <c r="F262" s="10">
        <f>IF($B262="","",SUMIFS(Sessions!$F:$F,Sessions!$B:$B,$B262,Sessions!$G:$G,"Waiting",Sessions!$A:$A,"&gt;="&amp;SemesterStart,Sessions!$A:$A,"&lt;="&amp;SemesterEnd))</f>
        <v/>
      </c>
      <c r="G262" s="16">
        <f>IF($B262="","",MIN(1,E262/RequiredHours))</f>
        <v/>
      </c>
      <c r="H262" s="9">
        <f>IF($B262="","",IF(E262&gt;=RequiredHours,"Done","In progress"))</f>
        <v/>
      </c>
      <c r="I262" s="10">
        <f>IF($B262="","",MAX(0,RequiredHours-E262))</f>
        <v/>
      </c>
    </row>
    <row r="263">
      <c r="A263" s="9" t="n"/>
      <c r="B263" s="9" t="n"/>
      <c r="C263" s="9" t="n"/>
      <c r="D263" s="15" t="n"/>
      <c r="E263" s="10">
        <f>IF($B263="","",SUMIFS(Sessions!$I:$I,Sessions!$B:$B,$B263,Sessions!$A:$A,"&gt;="&amp;SemesterStart,Sessions!$A:$A,"&lt;="&amp;SemesterEnd))</f>
        <v/>
      </c>
      <c r="F263" s="10">
        <f>IF($B263="","",SUMIFS(Sessions!$F:$F,Sessions!$B:$B,$B263,Sessions!$G:$G,"Waiting",Sessions!$A:$A,"&gt;="&amp;SemesterStart,Sessions!$A:$A,"&lt;="&amp;SemesterEnd))</f>
        <v/>
      </c>
      <c r="G263" s="16">
        <f>IF($B263="","",MIN(1,E263/RequiredHours))</f>
        <v/>
      </c>
      <c r="H263" s="9">
        <f>IF($B263="","",IF(E263&gt;=RequiredHours,"Done","In progress"))</f>
        <v/>
      </c>
      <c r="I263" s="10">
        <f>IF($B263="","",MAX(0,RequiredHours-E263))</f>
        <v/>
      </c>
    </row>
    <row r="264">
      <c r="A264" s="9" t="n"/>
      <c r="B264" s="9" t="n"/>
      <c r="C264" s="9" t="n"/>
      <c r="D264" s="15" t="n"/>
      <c r="E264" s="10">
        <f>IF($B264="","",SUMIFS(Sessions!$I:$I,Sessions!$B:$B,$B264,Sessions!$A:$A,"&gt;="&amp;SemesterStart,Sessions!$A:$A,"&lt;="&amp;SemesterEnd))</f>
        <v/>
      </c>
      <c r="F264" s="10">
        <f>IF($B264="","",SUMIFS(Sessions!$F:$F,Sessions!$B:$B,$B264,Sessions!$G:$G,"Waiting",Sessions!$A:$A,"&gt;="&amp;SemesterStart,Sessions!$A:$A,"&lt;="&amp;SemesterEnd))</f>
        <v/>
      </c>
      <c r="G264" s="16">
        <f>IF($B264="","",MIN(1,E264/RequiredHours))</f>
        <v/>
      </c>
      <c r="H264" s="9">
        <f>IF($B264="","",IF(E264&gt;=RequiredHours,"Done","In progress"))</f>
        <v/>
      </c>
      <c r="I264" s="10">
        <f>IF($B264="","",MAX(0,RequiredHours-E264))</f>
        <v/>
      </c>
    </row>
    <row r="265">
      <c r="A265" s="9" t="n"/>
      <c r="B265" s="9" t="n"/>
      <c r="C265" s="9" t="n"/>
      <c r="D265" s="15" t="n"/>
      <c r="E265" s="10">
        <f>IF($B265="","",SUMIFS(Sessions!$I:$I,Sessions!$B:$B,$B265,Sessions!$A:$A,"&gt;="&amp;SemesterStart,Sessions!$A:$A,"&lt;="&amp;SemesterEnd))</f>
        <v/>
      </c>
      <c r="F265" s="10">
        <f>IF($B265="","",SUMIFS(Sessions!$F:$F,Sessions!$B:$B,$B265,Sessions!$G:$G,"Waiting",Sessions!$A:$A,"&gt;="&amp;SemesterStart,Sessions!$A:$A,"&lt;="&amp;SemesterEnd))</f>
        <v/>
      </c>
      <c r="G265" s="16">
        <f>IF($B265="","",MIN(1,E265/RequiredHours))</f>
        <v/>
      </c>
      <c r="H265" s="9">
        <f>IF($B265="","",IF(E265&gt;=RequiredHours,"Done","In progress"))</f>
        <v/>
      </c>
      <c r="I265" s="10">
        <f>IF($B265="","",MAX(0,RequiredHours-E265))</f>
        <v/>
      </c>
    </row>
    <row r="266">
      <c r="A266" s="9" t="n"/>
      <c r="B266" s="9" t="n"/>
      <c r="C266" s="9" t="n"/>
      <c r="D266" s="15" t="n"/>
      <c r="E266" s="10">
        <f>IF($B266="","",SUMIFS(Sessions!$I:$I,Sessions!$B:$B,$B266,Sessions!$A:$A,"&gt;="&amp;SemesterStart,Sessions!$A:$A,"&lt;="&amp;SemesterEnd))</f>
        <v/>
      </c>
      <c r="F266" s="10">
        <f>IF($B266="","",SUMIFS(Sessions!$F:$F,Sessions!$B:$B,$B266,Sessions!$G:$G,"Waiting",Sessions!$A:$A,"&gt;="&amp;SemesterStart,Sessions!$A:$A,"&lt;="&amp;SemesterEnd))</f>
        <v/>
      </c>
      <c r="G266" s="16">
        <f>IF($B266="","",MIN(1,E266/RequiredHours))</f>
        <v/>
      </c>
      <c r="H266" s="9">
        <f>IF($B266="","",IF(E266&gt;=RequiredHours,"Done","In progress"))</f>
        <v/>
      </c>
      <c r="I266" s="10">
        <f>IF($B266="","",MAX(0,RequiredHours-E266))</f>
        <v/>
      </c>
    </row>
    <row r="267">
      <c r="A267" s="9" t="n"/>
      <c r="B267" s="9" t="n"/>
      <c r="C267" s="9" t="n"/>
      <c r="D267" s="15" t="n"/>
      <c r="E267" s="10">
        <f>IF($B267="","",SUMIFS(Sessions!$I:$I,Sessions!$B:$B,$B267,Sessions!$A:$A,"&gt;="&amp;SemesterStart,Sessions!$A:$A,"&lt;="&amp;SemesterEnd))</f>
        <v/>
      </c>
      <c r="F267" s="10">
        <f>IF($B267="","",SUMIFS(Sessions!$F:$F,Sessions!$B:$B,$B267,Sessions!$G:$G,"Waiting",Sessions!$A:$A,"&gt;="&amp;SemesterStart,Sessions!$A:$A,"&lt;="&amp;SemesterEnd))</f>
        <v/>
      </c>
      <c r="G267" s="16">
        <f>IF($B267="","",MIN(1,E267/RequiredHours))</f>
        <v/>
      </c>
      <c r="H267" s="9">
        <f>IF($B267="","",IF(E267&gt;=RequiredHours,"Done","In progress"))</f>
        <v/>
      </c>
      <c r="I267" s="10">
        <f>IF($B267="","",MAX(0,RequiredHours-E267))</f>
        <v/>
      </c>
    </row>
    <row r="268">
      <c r="A268" s="9" t="n"/>
      <c r="B268" s="9" t="n"/>
      <c r="C268" s="9" t="n"/>
      <c r="D268" s="15" t="n"/>
      <c r="E268" s="10">
        <f>IF($B268="","",SUMIFS(Sessions!$I:$I,Sessions!$B:$B,$B268,Sessions!$A:$A,"&gt;="&amp;SemesterStart,Sessions!$A:$A,"&lt;="&amp;SemesterEnd))</f>
        <v/>
      </c>
      <c r="F268" s="10">
        <f>IF($B268="","",SUMIFS(Sessions!$F:$F,Sessions!$B:$B,$B268,Sessions!$G:$G,"Waiting",Sessions!$A:$A,"&gt;="&amp;SemesterStart,Sessions!$A:$A,"&lt;="&amp;SemesterEnd))</f>
        <v/>
      </c>
      <c r="G268" s="16">
        <f>IF($B268="","",MIN(1,E268/RequiredHours))</f>
        <v/>
      </c>
      <c r="H268" s="9">
        <f>IF($B268="","",IF(E268&gt;=RequiredHours,"Done","In progress"))</f>
        <v/>
      </c>
      <c r="I268" s="10">
        <f>IF($B268="","",MAX(0,RequiredHours-E268))</f>
        <v/>
      </c>
    </row>
    <row r="269">
      <c r="A269" s="9" t="n"/>
      <c r="B269" s="9" t="n"/>
      <c r="C269" s="9" t="n"/>
      <c r="D269" s="15" t="n"/>
      <c r="E269" s="10">
        <f>IF($B269="","",SUMIFS(Sessions!$I:$I,Sessions!$B:$B,$B269,Sessions!$A:$A,"&gt;="&amp;SemesterStart,Sessions!$A:$A,"&lt;="&amp;SemesterEnd))</f>
        <v/>
      </c>
      <c r="F269" s="10">
        <f>IF($B269="","",SUMIFS(Sessions!$F:$F,Sessions!$B:$B,$B269,Sessions!$G:$G,"Waiting",Sessions!$A:$A,"&gt;="&amp;SemesterStart,Sessions!$A:$A,"&lt;="&amp;SemesterEnd))</f>
        <v/>
      </c>
      <c r="G269" s="16">
        <f>IF($B269="","",MIN(1,E269/RequiredHours))</f>
        <v/>
      </c>
      <c r="H269" s="9">
        <f>IF($B269="","",IF(E269&gt;=RequiredHours,"Done","In progress"))</f>
        <v/>
      </c>
      <c r="I269" s="10">
        <f>IF($B269="","",MAX(0,RequiredHours-E269))</f>
        <v/>
      </c>
    </row>
    <row r="270">
      <c r="A270" s="9" t="n"/>
      <c r="B270" s="9" t="n"/>
      <c r="C270" s="9" t="n"/>
      <c r="D270" s="15" t="n"/>
      <c r="E270" s="10">
        <f>IF($B270="","",SUMIFS(Sessions!$I:$I,Sessions!$B:$B,$B270,Sessions!$A:$A,"&gt;="&amp;SemesterStart,Sessions!$A:$A,"&lt;="&amp;SemesterEnd))</f>
        <v/>
      </c>
      <c r="F270" s="10">
        <f>IF($B270="","",SUMIFS(Sessions!$F:$F,Sessions!$B:$B,$B270,Sessions!$G:$G,"Waiting",Sessions!$A:$A,"&gt;="&amp;SemesterStart,Sessions!$A:$A,"&lt;="&amp;SemesterEnd))</f>
        <v/>
      </c>
      <c r="G270" s="16">
        <f>IF($B270="","",MIN(1,E270/RequiredHours))</f>
        <v/>
      </c>
      <c r="H270" s="9">
        <f>IF($B270="","",IF(E270&gt;=RequiredHours,"Done","In progress"))</f>
        <v/>
      </c>
      <c r="I270" s="10">
        <f>IF($B270="","",MAX(0,RequiredHours-E270))</f>
        <v/>
      </c>
    </row>
    <row r="271">
      <c r="A271" s="9" t="n"/>
      <c r="B271" s="9" t="n"/>
      <c r="C271" s="9" t="n"/>
      <c r="D271" s="15" t="n"/>
      <c r="E271" s="10">
        <f>IF($B271="","",SUMIFS(Sessions!$I:$I,Sessions!$B:$B,$B271,Sessions!$A:$A,"&gt;="&amp;SemesterStart,Sessions!$A:$A,"&lt;="&amp;SemesterEnd))</f>
        <v/>
      </c>
      <c r="F271" s="10">
        <f>IF($B271="","",SUMIFS(Sessions!$F:$F,Sessions!$B:$B,$B271,Sessions!$G:$G,"Waiting",Sessions!$A:$A,"&gt;="&amp;SemesterStart,Sessions!$A:$A,"&lt;="&amp;SemesterEnd))</f>
        <v/>
      </c>
      <c r="G271" s="16">
        <f>IF($B271="","",MIN(1,E271/RequiredHours))</f>
        <v/>
      </c>
      <c r="H271" s="9">
        <f>IF($B271="","",IF(E271&gt;=RequiredHours,"Done","In progress"))</f>
        <v/>
      </c>
      <c r="I271" s="10">
        <f>IF($B271="","",MAX(0,RequiredHours-E271))</f>
        <v/>
      </c>
    </row>
    <row r="272">
      <c r="A272" s="9" t="n"/>
      <c r="B272" s="9" t="n"/>
      <c r="C272" s="9" t="n"/>
      <c r="D272" s="15" t="n"/>
      <c r="E272" s="10">
        <f>IF($B272="","",SUMIFS(Sessions!$I:$I,Sessions!$B:$B,$B272,Sessions!$A:$A,"&gt;="&amp;SemesterStart,Sessions!$A:$A,"&lt;="&amp;SemesterEnd))</f>
        <v/>
      </c>
      <c r="F272" s="10">
        <f>IF($B272="","",SUMIFS(Sessions!$F:$F,Sessions!$B:$B,$B272,Sessions!$G:$G,"Waiting",Sessions!$A:$A,"&gt;="&amp;SemesterStart,Sessions!$A:$A,"&lt;="&amp;SemesterEnd))</f>
        <v/>
      </c>
      <c r="G272" s="16">
        <f>IF($B272="","",MIN(1,E272/RequiredHours))</f>
        <v/>
      </c>
      <c r="H272" s="9">
        <f>IF($B272="","",IF(E272&gt;=RequiredHours,"Done","In progress"))</f>
        <v/>
      </c>
      <c r="I272" s="10">
        <f>IF($B272="","",MAX(0,RequiredHours-E272))</f>
        <v/>
      </c>
    </row>
    <row r="273">
      <c r="A273" s="9" t="n"/>
      <c r="B273" s="9" t="n"/>
      <c r="C273" s="9" t="n"/>
      <c r="D273" s="15" t="n"/>
      <c r="E273" s="10">
        <f>IF($B273="","",SUMIFS(Sessions!$I:$I,Sessions!$B:$B,$B273,Sessions!$A:$A,"&gt;="&amp;SemesterStart,Sessions!$A:$A,"&lt;="&amp;SemesterEnd))</f>
        <v/>
      </c>
      <c r="F273" s="10">
        <f>IF($B273="","",SUMIFS(Sessions!$F:$F,Sessions!$B:$B,$B273,Sessions!$G:$G,"Waiting",Sessions!$A:$A,"&gt;="&amp;SemesterStart,Sessions!$A:$A,"&lt;="&amp;SemesterEnd))</f>
        <v/>
      </c>
      <c r="G273" s="16">
        <f>IF($B273="","",MIN(1,E273/RequiredHours))</f>
        <v/>
      </c>
      <c r="H273" s="9">
        <f>IF($B273="","",IF(E273&gt;=RequiredHours,"Done","In progress"))</f>
        <v/>
      </c>
      <c r="I273" s="10">
        <f>IF($B273="","",MAX(0,RequiredHours-E273))</f>
        <v/>
      </c>
    </row>
    <row r="274">
      <c r="A274" s="9" t="n"/>
      <c r="B274" s="9" t="n"/>
      <c r="C274" s="9" t="n"/>
      <c r="D274" s="15" t="n"/>
      <c r="E274" s="10">
        <f>IF($B274="","",SUMIFS(Sessions!$I:$I,Sessions!$B:$B,$B274,Sessions!$A:$A,"&gt;="&amp;SemesterStart,Sessions!$A:$A,"&lt;="&amp;SemesterEnd))</f>
        <v/>
      </c>
      <c r="F274" s="10">
        <f>IF($B274="","",SUMIFS(Sessions!$F:$F,Sessions!$B:$B,$B274,Sessions!$G:$G,"Waiting",Sessions!$A:$A,"&gt;="&amp;SemesterStart,Sessions!$A:$A,"&lt;="&amp;SemesterEnd))</f>
        <v/>
      </c>
      <c r="G274" s="16">
        <f>IF($B274="","",MIN(1,E274/RequiredHours))</f>
        <v/>
      </c>
      <c r="H274" s="9">
        <f>IF($B274="","",IF(E274&gt;=RequiredHours,"Done","In progress"))</f>
        <v/>
      </c>
      <c r="I274" s="10">
        <f>IF($B274="","",MAX(0,RequiredHours-E274))</f>
        <v/>
      </c>
    </row>
    <row r="275">
      <c r="A275" s="9" t="n"/>
      <c r="B275" s="9" t="n"/>
      <c r="C275" s="9" t="n"/>
      <c r="D275" s="15" t="n"/>
      <c r="E275" s="10">
        <f>IF($B275="","",SUMIFS(Sessions!$I:$I,Sessions!$B:$B,$B275,Sessions!$A:$A,"&gt;="&amp;SemesterStart,Sessions!$A:$A,"&lt;="&amp;SemesterEnd))</f>
        <v/>
      </c>
      <c r="F275" s="10">
        <f>IF($B275="","",SUMIFS(Sessions!$F:$F,Sessions!$B:$B,$B275,Sessions!$G:$G,"Waiting",Sessions!$A:$A,"&gt;="&amp;SemesterStart,Sessions!$A:$A,"&lt;="&amp;SemesterEnd))</f>
        <v/>
      </c>
      <c r="G275" s="16">
        <f>IF($B275="","",MIN(1,E275/RequiredHours))</f>
        <v/>
      </c>
      <c r="H275" s="9">
        <f>IF($B275="","",IF(E275&gt;=RequiredHours,"Done","In progress"))</f>
        <v/>
      </c>
      <c r="I275" s="10">
        <f>IF($B275="","",MAX(0,RequiredHours-E275))</f>
        <v/>
      </c>
    </row>
    <row r="276">
      <c r="A276" s="9" t="n"/>
      <c r="B276" s="9" t="n"/>
      <c r="C276" s="9" t="n"/>
      <c r="D276" s="15" t="n"/>
      <c r="E276" s="10">
        <f>IF($B276="","",SUMIFS(Sessions!$I:$I,Sessions!$B:$B,$B276,Sessions!$A:$A,"&gt;="&amp;SemesterStart,Sessions!$A:$A,"&lt;="&amp;SemesterEnd))</f>
        <v/>
      </c>
      <c r="F276" s="10">
        <f>IF($B276="","",SUMIFS(Sessions!$F:$F,Sessions!$B:$B,$B276,Sessions!$G:$G,"Waiting",Sessions!$A:$A,"&gt;="&amp;SemesterStart,Sessions!$A:$A,"&lt;="&amp;SemesterEnd))</f>
        <v/>
      </c>
      <c r="G276" s="16">
        <f>IF($B276="","",MIN(1,E276/RequiredHours))</f>
        <v/>
      </c>
      <c r="H276" s="9">
        <f>IF($B276="","",IF(E276&gt;=RequiredHours,"Done","In progress"))</f>
        <v/>
      </c>
      <c r="I276" s="10">
        <f>IF($B276="","",MAX(0,RequiredHours-E276))</f>
        <v/>
      </c>
    </row>
    <row r="277">
      <c r="A277" s="9" t="n"/>
      <c r="B277" s="9" t="n"/>
      <c r="C277" s="9" t="n"/>
      <c r="D277" s="15" t="n"/>
      <c r="E277" s="10">
        <f>IF($B277="","",SUMIFS(Sessions!$I:$I,Sessions!$B:$B,$B277,Sessions!$A:$A,"&gt;="&amp;SemesterStart,Sessions!$A:$A,"&lt;="&amp;SemesterEnd))</f>
        <v/>
      </c>
      <c r="F277" s="10">
        <f>IF($B277="","",SUMIFS(Sessions!$F:$F,Sessions!$B:$B,$B277,Sessions!$G:$G,"Waiting",Sessions!$A:$A,"&gt;="&amp;SemesterStart,Sessions!$A:$A,"&lt;="&amp;SemesterEnd))</f>
        <v/>
      </c>
      <c r="G277" s="16">
        <f>IF($B277="","",MIN(1,E277/RequiredHours))</f>
        <v/>
      </c>
      <c r="H277" s="9">
        <f>IF($B277="","",IF(E277&gt;=RequiredHours,"Done","In progress"))</f>
        <v/>
      </c>
      <c r="I277" s="10">
        <f>IF($B277="","",MAX(0,RequiredHours-E277))</f>
        <v/>
      </c>
    </row>
    <row r="278">
      <c r="A278" s="9" t="n"/>
      <c r="B278" s="9" t="n"/>
      <c r="C278" s="9" t="n"/>
      <c r="D278" s="15" t="n"/>
      <c r="E278" s="10">
        <f>IF($B278="","",SUMIFS(Sessions!$I:$I,Sessions!$B:$B,$B278,Sessions!$A:$A,"&gt;="&amp;SemesterStart,Sessions!$A:$A,"&lt;="&amp;SemesterEnd))</f>
        <v/>
      </c>
      <c r="F278" s="10">
        <f>IF($B278="","",SUMIFS(Sessions!$F:$F,Sessions!$B:$B,$B278,Sessions!$G:$G,"Waiting",Sessions!$A:$A,"&gt;="&amp;SemesterStart,Sessions!$A:$A,"&lt;="&amp;SemesterEnd))</f>
        <v/>
      </c>
      <c r="G278" s="16">
        <f>IF($B278="","",MIN(1,E278/RequiredHours))</f>
        <v/>
      </c>
      <c r="H278" s="9">
        <f>IF($B278="","",IF(E278&gt;=RequiredHours,"Done","In progress"))</f>
        <v/>
      </c>
      <c r="I278" s="10">
        <f>IF($B278="","",MAX(0,RequiredHours-E278))</f>
        <v/>
      </c>
    </row>
    <row r="279">
      <c r="A279" s="9" t="n"/>
      <c r="B279" s="9" t="n"/>
      <c r="C279" s="9" t="n"/>
      <c r="D279" s="15" t="n"/>
      <c r="E279" s="10">
        <f>IF($B279="","",SUMIFS(Sessions!$I:$I,Sessions!$B:$B,$B279,Sessions!$A:$A,"&gt;="&amp;SemesterStart,Sessions!$A:$A,"&lt;="&amp;SemesterEnd))</f>
        <v/>
      </c>
      <c r="F279" s="10">
        <f>IF($B279="","",SUMIFS(Sessions!$F:$F,Sessions!$B:$B,$B279,Sessions!$G:$G,"Waiting",Sessions!$A:$A,"&gt;="&amp;SemesterStart,Sessions!$A:$A,"&lt;="&amp;SemesterEnd))</f>
        <v/>
      </c>
      <c r="G279" s="16">
        <f>IF($B279="","",MIN(1,E279/RequiredHours))</f>
        <v/>
      </c>
      <c r="H279" s="9">
        <f>IF($B279="","",IF(E279&gt;=RequiredHours,"Done","In progress"))</f>
        <v/>
      </c>
      <c r="I279" s="10">
        <f>IF($B279="","",MAX(0,RequiredHours-E279))</f>
        <v/>
      </c>
    </row>
    <row r="280">
      <c r="A280" s="9" t="n"/>
      <c r="B280" s="9" t="n"/>
      <c r="C280" s="9" t="n"/>
      <c r="D280" s="15" t="n"/>
      <c r="E280" s="10">
        <f>IF($B280="","",SUMIFS(Sessions!$I:$I,Sessions!$B:$B,$B280,Sessions!$A:$A,"&gt;="&amp;SemesterStart,Sessions!$A:$A,"&lt;="&amp;SemesterEnd))</f>
        <v/>
      </c>
      <c r="F280" s="10">
        <f>IF($B280="","",SUMIFS(Sessions!$F:$F,Sessions!$B:$B,$B280,Sessions!$G:$G,"Waiting",Sessions!$A:$A,"&gt;="&amp;SemesterStart,Sessions!$A:$A,"&lt;="&amp;SemesterEnd))</f>
        <v/>
      </c>
      <c r="G280" s="16">
        <f>IF($B280="","",MIN(1,E280/RequiredHours))</f>
        <v/>
      </c>
      <c r="H280" s="9">
        <f>IF($B280="","",IF(E280&gt;=RequiredHours,"Done","In progress"))</f>
        <v/>
      </c>
      <c r="I280" s="10">
        <f>IF($B280="","",MAX(0,RequiredHours-E280))</f>
        <v/>
      </c>
    </row>
    <row r="281">
      <c r="A281" s="9" t="n"/>
      <c r="B281" s="9" t="n"/>
      <c r="C281" s="9" t="n"/>
      <c r="D281" s="15" t="n"/>
      <c r="E281" s="10">
        <f>IF($B281="","",SUMIFS(Sessions!$I:$I,Sessions!$B:$B,$B281,Sessions!$A:$A,"&gt;="&amp;SemesterStart,Sessions!$A:$A,"&lt;="&amp;SemesterEnd))</f>
        <v/>
      </c>
      <c r="F281" s="10">
        <f>IF($B281="","",SUMIFS(Sessions!$F:$F,Sessions!$B:$B,$B281,Sessions!$G:$G,"Waiting",Sessions!$A:$A,"&gt;="&amp;SemesterStart,Sessions!$A:$A,"&lt;="&amp;SemesterEnd))</f>
        <v/>
      </c>
      <c r="G281" s="16">
        <f>IF($B281="","",MIN(1,E281/RequiredHours))</f>
        <v/>
      </c>
      <c r="H281" s="9">
        <f>IF($B281="","",IF(E281&gt;=RequiredHours,"Done","In progress"))</f>
        <v/>
      </c>
      <c r="I281" s="10">
        <f>IF($B281="","",MAX(0,RequiredHours-E281))</f>
        <v/>
      </c>
    </row>
    <row r="282">
      <c r="A282" s="9" t="n"/>
      <c r="B282" s="9" t="n"/>
      <c r="C282" s="9" t="n"/>
      <c r="D282" s="15" t="n"/>
      <c r="E282" s="10">
        <f>IF($B282="","",SUMIFS(Sessions!$I:$I,Sessions!$B:$B,$B282,Sessions!$A:$A,"&gt;="&amp;SemesterStart,Sessions!$A:$A,"&lt;="&amp;SemesterEnd))</f>
        <v/>
      </c>
      <c r="F282" s="10">
        <f>IF($B282="","",SUMIFS(Sessions!$F:$F,Sessions!$B:$B,$B282,Sessions!$G:$G,"Waiting",Sessions!$A:$A,"&gt;="&amp;SemesterStart,Sessions!$A:$A,"&lt;="&amp;SemesterEnd))</f>
        <v/>
      </c>
      <c r="G282" s="16">
        <f>IF($B282="","",MIN(1,E282/RequiredHours))</f>
        <v/>
      </c>
      <c r="H282" s="9">
        <f>IF($B282="","",IF(E282&gt;=RequiredHours,"Done","In progress"))</f>
        <v/>
      </c>
      <c r="I282" s="10">
        <f>IF($B282="","",MAX(0,RequiredHours-E282))</f>
        <v/>
      </c>
    </row>
    <row r="283">
      <c r="A283" s="9" t="n"/>
      <c r="B283" s="9" t="n"/>
      <c r="C283" s="9" t="n"/>
      <c r="D283" s="15" t="n"/>
      <c r="E283" s="10">
        <f>IF($B283="","",SUMIFS(Sessions!$I:$I,Sessions!$B:$B,$B283,Sessions!$A:$A,"&gt;="&amp;SemesterStart,Sessions!$A:$A,"&lt;="&amp;SemesterEnd))</f>
        <v/>
      </c>
      <c r="F283" s="10">
        <f>IF($B283="","",SUMIFS(Sessions!$F:$F,Sessions!$B:$B,$B283,Sessions!$G:$G,"Waiting",Sessions!$A:$A,"&gt;="&amp;SemesterStart,Sessions!$A:$A,"&lt;="&amp;SemesterEnd))</f>
        <v/>
      </c>
      <c r="G283" s="16">
        <f>IF($B283="","",MIN(1,E283/RequiredHours))</f>
        <v/>
      </c>
      <c r="H283" s="9">
        <f>IF($B283="","",IF(E283&gt;=RequiredHours,"Done","In progress"))</f>
        <v/>
      </c>
      <c r="I283" s="10">
        <f>IF($B283="","",MAX(0,RequiredHours-E283))</f>
        <v/>
      </c>
    </row>
    <row r="284">
      <c r="A284" s="9" t="n"/>
      <c r="B284" s="9" t="n"/>
      <c r="C284" s="9" t="n"/>
      <c r="D284" s="15" t="n"/>
      <c r="E284" s="10">
        <f>IF($B284="","",SUMIFS(Sessions!$I:$I,Sessions!$B:$B,$B284,Sessions!$A:$A,"&gt;="&amp;SemesterStart,Sessions!$A:$A,"&lt;="&amp;SemesterEnd))</f>
        <v/>
      </c>
      <c r="F284" s="10">
        <f>IF($B284="","",SUMIFS(Sessions!$F:$F,Sessions!$B:$B,$B284,Sessions!$G:$G,"Waiting",Sessions!$A:$A,"&gt;="&amp;SemesterStart,Sessions!$A:$A,"&lt;="&amp;SemesterEnd))</f>
        <v/>
      </c>
      <c r="G284" s="16">
        <f>IF($B284="","",MIN(1,E284/RequiredHours))</f>
        <v/>
      </c>
      <c r="H284" s="9">
        <f>IF($B284="","",IF(E284&gt;=RequiredHours,"Done","In progress"))</f>
        <v/>
      </c>
      <c r="I284" s="10">
        <f>IF($B284="","",MAX(0,RequiredHours-E284))</f>
        <v/>
      </c>
    </row>
    <row r="285">
      <c r="A285" s="9" t="n"/>
      <c r="B285" s="9" t="n"/>
      <c r="C285" s="9" t="n"/>
      <c r="D285" s="15" t="n"/>
      <c r="E285" s="10">
        <f>IF($B285="","",SUMIFS(Sessions!$I:$I,Sessions!$B:$B,$B285,Sessions!$A:$A,"&gt;="&amp;SemesterStart,Sessions!$A:$A,"&lt;="&amp;SemesterEnd))</f>
        <v/>
      </c>
      <c r="F285" s="10">
        <f>IF($B285="","",SUMIFS(Sessions!$F:$F,Sessions!$B:$B,$B285,Sessions!$G:$G,"Waiting",Sessions!$A:$A,"&gt;="&amp;SemesterStart,Sessions!$A:$A,"&lt;="&amp;SemesterEnd))</f>
        <v/>
      </c>
      <c r="G285" s="16">
        <f>IF($B285="","",MIN(1,E285/RequiredHours))</f>
        <v/>
      </c>
      <c r="H285" s="9">
        <f>IF($B285="","",IF(E285&gt;=RequiredHours,"Done","In progress"))</f>
        <v/>
      </c>
      <c r="I285" s="10">
        <f>IF($B285="","",MAX(0,RequiredHours-E285))</f>
        <v/>
      </c>
    </row>
    <row r="286">
      <c r="A286" s="9" t="n"/>
      <c r="B286" s="9" t="n"/>
      <c r="C286" s="9" t="n"/>
      <c r="D286" s="15" t="n"/>
      <c r="E286" s="10">
        <f>IF($B286="","",SUMIFS(Sessions!$I:$I,Sessions!$B:$B,$B286,Sessions!$A:$A,"&gt;="&amp;SemesterStart,Sessions!$A:$A,"&lt;="&amp;SemesterEnd))</f>
        <v/>
      </c>
      <c r="F286" s="10">
        <f>IF($B286="","",SUMIFS(Sessions!$F:$F,Sessions!$B:$B,$B286,Sessions!$G:$G,"Waiting",Sessions!$A:$A,"&gt;="&amp;SemesterStart,Sessions!$A:$A,"&lt;="&amp;SemesterEnd))</f>
        <v/>
      </c>
      <c r="G286" s="16">
        <f>IF($B286="","",MIN(1,E286/RequiredHours))</f>
        <v/>
      </c>
      <c r="H286" s="9">
        <f>IF($B286="","",IF(E286&gt;=RequiredHours,"Done","In progress"))</f>
        <v/>
      </c>
      <c r="I286" s="10">
        <f>IF($B286="","",MAX(0,RequiredHours-E286))</f>
        <v/>
      </c>
    </row>
    <row r="287">
      <c r="A287" s="9" t="n"/>
      <c r="B287" s="9" t="n"/>
      <c r="C287" s="9" t="n"/>
      <c r="D287" s="15" t="n"/>
      <c r="E287" s="10">
        <f>IF($B287="","",SUMIFS(Sessions!$I:$I,Sessions!$B:$B,$B287,Sessions!$A:$A,"&gt;="&amp;SemesterStart,Sessions!$A:$A,"&lt;="&amp;SemesterEnd))</f>
        <v/>
      </c>
      <c r="F287" s="10">
        <f>IF($B287="","",SUMIFS(Sessions!$F:$F,Sessions!$B:$B,$B287,Sessions!$G:$G,"Waiting",Sessions!$A:$A,"&gt;="&amp;SemesterStart,Sessions!$A:$A,"&lt;="&amp;SemesterEnd))</f>
        <v/>
      </c>
      <c r="G287" s="16">
        <f>IF($B287="","",MIN(1,E287/RequiredHours))</f>
        <v/>
      </c>
      <c r="H287" s="9">
        <f>IF($B287="","",IF(E287&gt;=RequiredHours,"Done","In progress"))</f>
        <v/>
      </c>
      <c r="I287" s="10">
        <f>IF($B287="","",MAX(0,RequiredHours-E287))</f>
        <v/>
      </c>
    </row>
    <row r="288">
      <c r="A288" s="9" t="n"/>
      <c r="B288" s="9" t="n"/>
      <c r="C288" s="9" t="n"/>
      <c r="D288" s="15" t="n"/>
      <c r="E288" s="10">
        <f>IF($B288="","",SUMIFS(Sessions!$I:$I,Sessions!$B:$B,$B288,Sessions!$A:$A,"&gt;="&amp;SemesterStart,Sessions!$A:$A,"&lt;="&amp;SemesterEnd))</f>
        <v/>
      </c>
      <c r="F288" s="10">
        <f>IF($B288="","",SUMIFS(Sessions!$F:$F,Sessions!$B:$B,$B288,Sessions!$G:$G,"Waiting",Sessions!$A:$A,"&gt;="&amp;SemesterStart,Sessions!$A:$A,"&lt;="&amp;SemesterEnd))</f>
        <v/>
      </c>
      <c r="G288" s="16">
        <f>IF($B288="","",MIN(1,E288/RequiredHours))</f>
        <v/>
      </c>
      <c r="H288" s="9">
        <f>IF($B288="","",IF(E288&gt;=RequiredHours,"Done","In progress"))</f>
        <v/>
      </c>
      <c r="I288" s="10">
        <f>IF($B288="","",MAX(0,RequiredHours-E288))</f>
        <v/>
      </c>
    </row>
    <row r="289">
      <c r="A289" s="9" t="n"/>
      <c r="B289" s="9" t="n"/>
      <c r="C289" s="9" t="n"/>
      <c r="D289" s="15" t="n"/>
      <c r="E289" s="10">
        <f>IF($B289="","",SUMIFS(Sessions!$I:$I,Sessions!$B:$B,$B289,Sessions!$A:$A,"&gt;="&amp;SemesterStart,Sessions!$A:$A,"&lt;="&amp;SemesterEnd))</f>
        <v/>
      </c>
      <c r="F289" s="10">
        <f>IF($B289="","",SUMIFS(Sessions!$F:$F,Sessions!$B:$B,$B289,Sessions!$G:$G,"Waiting",Sessions!$A:$A,"&gt;="&amp;SemesterStart,Sessions!$A:$A,"&lt;="&amp;SemesterEnd))</f>
        <v/>
      </c>
      <c r="G289" s="16">
        <f>IF($B289="","",MIN(1,E289/RequiredHours))</f>
        <v/>
      </c>
      <c r="H289" s="9">
        <f>IF($B289="","",IF(E289&gt;=RequiredHours,"Done","In progress"))</f>
        <v/>
      </c>
      <c r="I289" s="10">
        <f>IF($B289="","",MAX(0,RequiredHours-E289))</f>
        <v/>
      </c>
    </row>
    <row r="290">
      <c r="A290" s="9" t="n"/>
      <c r="B290" s="9" t="n"/>
      <c r="C290" s="9" t="n"/>
      <c r="D290" s="15" t="n"/>
      <c r="E290" s="10">
        <f>IF($B290="","",SUMIFS(Sessions!$I:$I,Sessions!$B:$B,$B290,Sessions!$A:$A,"&gt;="&amp;SemesterStart,Sessions!$A:$A,"&lt;="&amp;SemesterEnd))</f>
        <v/>
      </c>
      <c r="F290" s="10">
        <f>IF($B290="","",SUMIFS(Sessions!$F:$F,Sessions!$B:$B,$B290,Sessions!$G:$G,"Waiting",Sessions!$A:$A,"&gt;="&amp;SemesterStart,Sessions!$A:$A,"&lt;="&amp;SemesterEnd))</f>
        <v/>
      </c>
      <c r="G290" s="16">
        <f>IF($B290="","",MIN(1,E290/RequiredHours))</f>
        <v/>
      </c>
      <c r="H290" s="9">
        <f>IF($B290="","",IF(E290&gt;=RequiredHours,"Done","In progress"))</f>
        <v/>
      </c>
      <c r="I290" s="10">
        <f>IF($B290="","",MAX(0,RequiredHours-E290))</f>
        <v/>
      </c>
    </row>
    <row r="291">
      <c r="A291" s="9" t="n"/>
      <c r="B291" s="9" t="n"/>
      <c r="C291" s="9" t="n"/>
      <c r="D291" s="15" t="n"/>
      <c r="E291" s="10">
        <f>IF($B291="","",SUMIFS(Sessions!$I:$I,Sessions!$B:$B,$B291,Sessions!$A:$A,"&gt;="&amp;SemesterStart,Sessions!$A:$A,"&lt;="&amp;SemesterEnd))</f>
        <v/>
      </c>
      <c r="F291" s="10">
        <f>IF($B291="","",SUMIFS(Sessions!$F:$F,Sessions!$B:$B,$B291,Sessions!$G:$G,"Waiting",Sessions!$A:$A,"&gt;="&amp;SemesterStart,Sessions!$A:$A,"&lt;="&amp;SemesterEnd))</f>
        <v/>
      </c>
      <c r="G291" s="16">
        <f>IF($B291="","",MIN(1,E291/RequiredHours))</f>
        <v/>
      </c>
      <c r="H291" s="9">
        <f>IF($B291="","",IF(E291&gt;=RequiredHours,"Done","In progress"))</f>
        <v/>
      </c>
      <c r="I291" s="10">
        <f>IF($B291="","",MAX(0,RequiredHours-E291))</f>
        <v/>
      </c>
    </row>
    <row r="292">
      <c r="A292" s="9" t="n"/>
      <c r="B292" s="9" t="n"/>
      <c r="C292" s="9" t="n"/>
      <c r="D292" s="15" t="n"/>
      <c r="E292" s="10">
        <f>IF($B292="","",SUMIFS(Sessions!$I:$I,Sessions!$B:$B,$B292,Sessions!$A:$A,"&gt;="&amp;SemesterStart,Sessions!$A:$A,"&lt;="&amp;SemesterEnd))</f>
        <v/>
      </c>
      <c r="F292" s="10">
        <f>IF($B292="","",SUMIFS(Sessions!$F:$F,Sessions!$B:$B,$B292,Sessions!$G:$G,"Waiting",Sessions!$A:$A,"&gt;="&amp;SemesterStart,Sessions!$A:$A,"&lt;="&amp;SemesterEnd))</f>
        <v/>
      </c>
      <c r="G292" s="16">
        <f>IF($B292="","",MIN(1,E292/RequiredHours))</f>
        <v/>
      </c>
      <c r="H292" s="9">
        <f>IF($B292="","",IF(E292&gt;=RequiredHours,"Done","In progress"))</f>
        <v/>
      </c>
      <c r="I292" s="10">
        <f>IF($B292="","",MAX(0,RequiredHours-E292))</f>
        <v/>
      </c>
    </row>
    <row r="293">
      <c r="A293" s="9" t="n"/>
      <c r="B293" s="9" t="n"/>
      <c r="C293" s="9" t="n"/>
      <c r="D293" s="15" t="n"/>
      <c r="E293" s="10">
        <f>IF($B293="","",SUMIFS(Sessions!$I:$I,Sessions!$B:$B,$B293,Sessions!$A:$A,"&gt;="&amp;SemesterStart,Sessions!$A:$A,"&lt;="&amp;SemesterEnd))</f>
        <v/>
      </c>
      <c r="F293" s="10">
        <f>IF($B293="","",SUMIFS(Sessions!$F:$F,Sessions!$B:$B,$B293,Sessions!$G:$G,"Waiting",Sessions!$A:$A,"&gt;="&amp;SemesterStart,Sessions!$A:$A,"&lt;="&amp;SemesterEnd))</f>
        <v/>
      </c>
      <c r="G293" s="16">
        <f>IF($B293="","",MIN(1,E293/RequiredHours))</f>
        <v/>
      </c>
      <c r="H293" s="9">
        <f>IF($B293="","",IF(E293&gt;=RequiredHours,"Done","In progress"))</f>
        <v/>
      </c>
      <c r="I293" s="10">
        <f>IF($B293="","",MAX(0,RequiredHours-E293))</f>
        <v/>
      </c>
    </row>
    <row r="294">
      <c r="A294" s="9" t="n"/>
      <c r="B294" s="9" t="n"/>
      <c r="C294" s="9" t="n"/>
      <c r="D294" s="15" t="n"/>
      <c r="E294" s="10">
        <f>IF($B294="","",SUMIFS(Sessions!$I:$I,Sessions!$B:$B,$B294,Sessions!$A:$A,"&gt;="&amp;SemesterStart,Sessions!$A:$A,"&lt;="&amp;SemesterEnd))</f>
        <v/>
      </c>
      <c r="F294" s="10">
        <f>IF($B294="","",SUMIFS(Sessions!$F:$F,Sessions!$B:$B,$B294,Sessions!$G:$G,"Waiting",Sessions!$A:$A,"&gt;="&amp;SemesterStart,Sessions!$A:$A,"&lt;="&amp;SemesterEnd))</f>
        <v/>
      </c>
      <c r="G294" s="16">
        <f>IF($B294="","",MIN(1,E294/RequiredHours))</f>
        <v/>
      </c>
      <c r="H294" s="9">
        <f>IF($B294="","",IF(E294&gt;=RequiredHours,"Done","In progress"))</f>
        <v/>
      </c>
      <c r="I294" s="10">
        <f>IF($B294="","",MAX(0,RequiredHours-E294))</f>
        <v/>
      </c>
    </row>
    <row r="295">
      <c r="A295" s="9" t="n"/>
      <c r="B295" s="9" t="n"/>
      <c r="C295" s="9" t="n"/>
      <c r="D295" s="15" t="n"/>
      <c r="E295" s="10">
        <f>IF($B295="","",SUMIFS(Sessions!$I:$I,Sessions!$B:$B,$B295,Sessions!$A:$A,"&gt;="&amp;SemesterStart,Sessions!$A:$A,"&lt;="&amp;SemesterEnd))</f>
        <v/>
      </c>
      <c r="F295" s="10">
        <f>IF($B295="","",SUMIFS(Sessions!$F:$F,Sessions!$B:$B,$B295,Sessions!$G:$G,"Waiting",Sessions!$A:$A,"&gt;="&amp;SemesterStart,Sessions!$A:$A,"&lt;="&amp;SemesterEnd))</f>
        <v/>
      </c>
      <c r="G295" s="16">
        <f>IF($B295="","",MIN(1,E295/RequiredHours))</f>
        <v/>
      </c>
      <c r="H295" s="9">
        <f>IF($B295="","",IF(E295&gt;=RequiredHours,"Done","In progress"))</f>
        <v/>
      </c>
      <c r="I295" s="10">
        <f>IF($B295="","",MAX(0,RequiredHours-E295))</f>
        <v/>
      </c>
    </row>
    <row r="296">
      <c r="A296" s="9" t="n"/>
      <c r="B296" s="9" t="n"/>
      <c r="C296" s="9" t="n"/>
      <c r="D296" s="15" t="n"/>
      <c r="E296" s="10">
        <f>IF($B296="","",SUMIFS(Sessions!$I:$I,Sessions!$B:$B,$B296,Sessions!$A:$A,"&gt;="&amp;SemesterStart,Sessions!$A:$A,"&lt;="&amp;SemesterEnd))</f>
        <v/>
      </c>
      <c r="F296" s="10">
        <f>IF($B296="","",SUMIFS(Sessions!$F:$F,Sessions!$B:$B,$B296,Sessions!$G:$G,"Waiting",Sessions!$A:$A,"&gt;="&amp;SemesterStart,Sessions!$A:$A,"&lt;="&amp;SemesterEnd))</f>
        <v/>
      </c>
      <c r="G296" s="16">
        <f>IF($B296="","",MIN(1,E296/RequiredHours))</f>
        <v/>
      </c>
      <c r="H296" s="9">
        <f>IF($B296="","",IF(E296&gt;=RequiredHours,"Done","In progress"))</f>
        <v/>
      </c>
      <c r="I296" s="10">
        <f>IF($B296="","",MAX(0,RequiredHours-E296))</f>
        <v/>
      </c>
    </row>
    <row r="297">
      <c r="A297" s="9" t="n"/>
      <c r="B297" s="9" t="n"/>
      <c r="C297" s="9" t="n"/>
      <c r="D297" s="15" t="n"/>
      <c r="E297" s="10">
        <f>IF($B297="","",SUMIFS(Sessions!$I:$I,Sessions!$B:$B,$B297,Sessions!$A:$A,"&gt;="&amp;SemesterStart,Sessions!$A:$A,"&lt;="&amp;SemesterEnd))</f>
        <v/>
      </c>
      <c r="F297" s="10">
        <f>IF($B297="","",SUMIFS(Sessions!$F:$F,Sessions!$B:$B,$B297,Sessions!$G:$G,"Waiting",Sessions!$A:$A,"&gt;="&amp;SemesterStart,Sessions!$A:$A,"&lt;="&amp;SemesterEnd))</f>
        <v/>
      </c>
      <c r="G297" s="16">
        <f>IF($B297="","",MIN(1,E297/RequiredHours))</f>
        <v/>
      </c>
      <c r="H297" s="9">
        <f>IF($B297="","",IF(E297&gt;=RequiredHours,"Done","In progress"))</f>
        <v/>
      </c>
      <c r="I297" s="10">
        <f>IF($B297="","",MAX(0,RequiredHours-E297))</f>
        <v/>
      </c>
    </row>
    <row r="298">
      <c r="A298" s="9" t="n"/>
      <c r="B298" s="9" t="n"/>
      <c r="C298" s="9" t="n"/>
      <c r="D298" s="15" t="n"/>
      <c r="E298" s="10">
        <f>IF($B298="","",SUMIFS(Sessions!$I:$I,Sessions!$B:$B,$B298,Sessions!$A:$A,"&gt;="&amp;SemesterStart,Sessions!$A:$A,"&lt;="&amp;SemesterEnd))</f>
        <v/>
      </c>
      <c r="F298" s="10">
        <f>IF($B298="","",SUMIFS(Sessions!$F:$F,Sessions!$B:$B,$B298,Sessions!$G:$G,"Waiting",Sessions!$A:$A,"&gt;="&amp;SemesterStart,Sessions!$A:$A,"&lt;="&amp;SemesterEnd))</f>
        <v/>
      </c>
      <c r="G298" s="16">
        <f>IF($B298="","",MIN(1,E298/RequiredHours))</f>
        <v/>
      </c>
      <c r="H298" s="9">
        <f>IF($B298="","",IF(E298&gt;=RequiredHours,"Done","In progress"))</f>
        <v/>
      </c>
      <c r="I298" s="10">
        <f>IF($B298="","",MAX(0,RequiredHours-E298))</f>
        <v/>
      </c>
    </row>
    <row r="299">
      <c r="A299" s="9" t="n"/>
      <c r="B299" s="9" t="n"/>
      <c r="C299" s="9" t="n"/>
      <c r="D299" s="15" t="n"/>
      <c r="E299" s="10">
        <f>IF($B299="","",SUMIFS(Sessions!$I:$I,Sessions!$B:$B,$B299,Sessions!$A:$A,"&gt;="&amp;SemesterStart,Sessions!$A:$A,"&lt;="&amp;SemesterEnd))</f>
        <v/>
      </c>
      <c r="F299" s="10">
        <f>IF($B299="","",SUMIFS(Sessions!$F:$F,Sessions!$B:$B,$B299,Sessions!$G:$G,"Waiting",Sessions!$A:$A,"&gt;="&amp;SemesterStart,Sessions!$A:$A,"&lt;="&amp;SemesterEnd))</f>
        <v/>
      </c>
      <c r="G299" s="16">
        <f>IF($B299="","",MIN(1,E299/RequiredHours))</f>
        <v/>
      </c>
      <c r="H299" s="9">
        <f>IF($B299="","",IF(E299&gt;=RequiredHours,"Done","In progress"))</f>
        <v/>
      </c>
      <c r="I299" s="10">
        <f>IF($B299="","",MAX(0,RequiredHours-E299))</f>
        <v/>
      </c>
    </row>
    <row r="300">
      <c r="A300" s="9" t="n"/>
      <c r="B300" s="9" t="n"/>
      <c r="C300" s="9" t="n"/>
      <c r="D300" s="15" t="n"/>
      <c r="E300" s="10">
        <f>IF($B300="","",SUMIFS(Sessions!$I:$I,Sessions!$B:$B,$B300,Sessions!$A:$A,"&gt;="&amp;SemesterStart,Sessions!$A:$A,"&lt;="&amp;SemesterEnd))</f>
        <v/>
      </c>
      <c r="F300" s="10">
        <f>IF($B300="","",SUMIFS(Sessions!$F:$F,Sessions!$B:$B,$B300,Sessions!$G:$G,"Waiting",Sessions!$A:$A,"&gt;="&amp;SemesterStart,Sessions!$A:$A,"&lt;="&amp;SemesterEnd))</f>
        <v/>
      </c>
      <c r="G300" s="16">
        <f>IF($B300="","",MIN(1,E300/RequiredHours))</f>
        <v/>
      </c>
      <c r="H300" s="9">
        <f>IF($B300="","",IF(E300&gt;=RequiredHours,"Done","In progress"))</f>
        <v/>
      </c>
      <c r="I300" s="10">
        <f>IF($B300="","",MAX(0,RequiredHours-E300))</f>
        <v/>
      </c>
    </row>
    <row r="301">
      <c r="A301" s="9" t="n"/>
      <c r="B301" s="9" t="n"/>
      <c r="C301" s="9" t="n"/>
      <c r="D301" s="15" t="n"/>
      <c r="E301" s="10">
        <f>IF($B301="","",SUMIFS(Sessions!$I:$I,Sessions!$B:$B,$B301,Sessions!$A:$A,"&gt;="&amp;SemesterStart,Sessions!$A:$A,"&lt;="&amp;SemesterEnd))</f>
        <v/>
      </c>
      <c r="F301" s="10">
        <f>IF($B301="","",SUMIFS(Sessions!$F:$F,Sessions!$B:$B,$B301,Sessions!$G:$G,"Waiting",Sessions!$A:$A,"&gt;="&amp;SemesterStart,Sessions!$A:$A,"&lt;="&amp;SemesterEnd))</f>
        <v/>
      </c>
      <c r="G301" s="16">
        <f>IF($B301="","",MIN(1,E301/RequiredHours))</f>
        <v/>
      </c>
      <c r="H301" s="9">
        <f>IF($B301="","",IF(E301&gt;=RequiredHours,"Done","In progress"))</f>
        <v/>
      </c>
      <c r="I301" s="10">
        <f>IF($B301="","",MAX(0,RequiredHours-E301))</f>
        <v/>
      </c>
    </row>
  </sheetData>
  <conditionalFormatting sqref="G2:G301">
    <cfRule type="dataBar" priority="1">
      <dataBar showValue="1">
        <cfvo type="num" val="0"/>
        <cfvo type="num" val="1"/>
        <color rgb="00FFC14A"/>
      </dataBar>
    </cfRule>
  </conditionalFormatting>
  <conditionalFormatting sqref="H2:H301">
    <cfRule type="cellIs" priority="2" operator="equal" dxfId="1">
      <formula>"Done"</formula>
    </cfRule>
  </conditionalFormatting>
  <dataValidations count="1">
    <dataValidation sqref="C2:C301" showDropDown="0" showInputMessage="0" showErrorMessage="0" allowBlank="1" type="list">
      <formula1>"9,10,11,12"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14A"/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8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3" customWidth="1" min="9" max="9"/>
    <col width="40" customWidth="1" min="10" max="10"/>
    <col width="22" customWidth="1" min="11" max="11"/>
    <col width="22" customWidth="1" min="12" max="12"/>
  </cols>
  <sheetData>
    <row r="1" ht="30" customHeight="1">
      <c r="A1" s="8" t="inlineStr">
        <is>
          <t>Date</t>
        </is>
      </c>
      <c r="B1" s="8" t="inlineStr">
        <is>
          <t>Member email</t>
        </is>
      </c>
      <c r="C1" s="8" t="inlineStr">
        <is>
          <t>Event</t>
        </is>
      </c>
      <c r="D1" s="8" t="inlineStr">
        <is>
          <t>Clock in</t>
        </is>
      </c>
      <c r="E1" s="8" t="inlineStr">
        <is>
          <t>Clock out</t>
        </is>
      </c>
      <c r="F1" s="8" t="inlineStr">
        <is>
          <t>Hours on clock</t>
        </is>
      </c>
      <c r="G1" s="8" t="inlineStr">
        <is>
          <t>Status</t>
        </is>
      </c>
      <c r="H1" s="8" t="inlineStr">
        <is>
          <t>Approved hours</t>
        </is>
      </c>
      <c r="I1" s="8" t="inlineStr">
        <is>
          <t>Counted hours</t>
        </is>
      </c>
      <c r="J1" s="8" t="inlineStr">
        <is>
          <t>Lead note</t>
        </is>
      </c>
      <c r="K1" s="8" t="inlineStr">
        <is>
          <t>Clock-in photo</t>
        </is>
      </c>
      <c r="L1" s="8" t="inlineStr">
        <is>
          <t>Clock-out photo</t>
        </is>
      </c>
    </row>
    <row r="2">
      <c r="A2" s="15" t="n">
        <v>46268</v>
      </c>
      <c r="B2" s="9" t="inlineStr">
        <is>
          <t>alex@example.com</t>
        </is>
      </c>
      <c r="C2" s="9" t="inlineStr">
        <is>
          <t>Library STEM night</t>
        </is>
      </c>
      <c r="D2" s="17" t="n">
        <v>0.7097222222222223</v>
      </c>
      <c r="E2" s="17" t="n">
        <v>0.8159722222222222</v>
      </c>
      <c r="F2" s="10">
        <f>IF(OR($D2="",$E2=""),"",ROUND(MOD($E2-$D2,1)*24,2))</f>
        <v/>
      </c>
      <c r="G2" s="9" t="inlineStr">
        <is>
          <t>Approved</t>
        </is>
      </c>
      <c r="H2" s="10" t="n">
        <v>2.5</v>
      </c>
      <c r="I2" s="10">
        <f>IF($G2="Approved",IF($H2="",IF($F2="",0,$F2),$H2),0)</f>
        <v/>
      </c>
      <c r="J2" s="9" t="inlineStr"/>
      <c r="K2" s="9" t="n"/>
      <c r="L2" s="9" t="n"/>
    </row>
    <row r="3">
      <c r="A3" s="15" t="n">
        <v>46275</v>
      </c>
      <c r="B3" s="9" t="inlineStr">
        <is>
          <t>alex@example.com</t>
        </is>
      </c>
      <c r="C3" s="9" t="inlineStr">
        <is>
          <t>Elementary school robot demo</t>
        </is>
      </c>
      <c r="D3" s="17" t="n">
        <v>0.5819444444444445</v>
      </c>
      <c r="E3" s="17" t="n">
        <v>0.6673611111111111</v>
      </c>
      <c r="F3" s="10">
        <f>IF(OR($D3="",$E3=""),"",ROUND(MOD($E3-$D3,1)*24,2))</f>
        <v/>
      </c>
      <c r="G3" s="9" t="inlineStr">
        <is>
          <t>Approved</t>
        </is>
      </c>
      <c r="H3" s="10" t="n"/>
      <c r="I3" s="10">
        <f>IF($G3="Approved",IF($H3="",IF($F3="",0,$F3),$H3),0)</f>
        <v/>
      </c>
      <c r="J3" s="9" t="inlineStr"/>
      <c r="K3" s="9" t="n"/>
      <c r="L3" s="9" t="n"/>
    </row>
    <row r="4">
      <c r="A4" s="15" t="n">
        <v>46279</v>
      </c>
      <c r="B4" s="9" t="inlineStr">
        <is>
          <t>alex@example.com</t>
        </is>
      </c>
      <c r="C4" s="9" t="inlineStr">
        <is>
          <t>Farmers market booth</t>
        </is>
      </c>
      <c r="D4" s="17" t="n">
        <v>0.3777777777777778</v>
      </c>
      <c r="E4" s="17" t="n">
        <v>0.4861111111111111</v>
      </c>
      <c r="F4" s="10">
        <f>IF(OR($D4="",$E4=""),"",ROUND(MOD($E4-$D4,1)*24,2))</f>
        <v/>
      </c>
      <c r="G4" s="9" t="inlineStr">
        <is>
          <t>Waiting</t>
        </is>
      </c>
      <c r="H4" s="10" t="n"/>
      <c r="I4" s="10">
        <f>IF($G4="Approved",IF($H4="",IF($F4="",0,$F4),$H4),0)</f>
        <v/>
      </c>
      <c r="J4" s="9" t="inlineStr"/>
      <c r="K4" s="9" t="n"/>
      <c r="L4" s="9" t="n"/>
    </row>
    <row r="5">
      <c r="A5" s="15" t="n">
        <v>46279</v>
      </c>
      <c r="B5" s="9" t="inlineStr">
        <is>
          <t>sam@example.com</t>
        </is>
      </c>
      <c r="C5" s="9" t="inlineStr">
        <is>
          <t>Farmers market booth</t>
        </is>
      </c>
      <c r="D5" s="17" t="n">
        <v>0.3958333333333333</v>
      </c>
      <c r="E5" s="17" t="n">
        <v>0.4034722222222222</v>
      </c>
      <c r="F5" s="10">
        <f>IF(OR($D5="",$E5=""),"",ROUND(MOD($E5-$D5,1)*24,2))</f>
        <v/>
      </c>
      <c r="G5" s="9" t="inlineStr">
        <is>
          <t>Sent back</t>
        </is>
      </c>
      <c r="H5" s="10" t="n"/>
      <c r="I5" s="10">
        <f>IF($G5="Approved",IF($H5="",IF($F5="",0,$F5),$H5),0)</f>
        <v/>
      </c>
      <c r="J5" s="9" t="inlineStr">
        <is>
          <t>Photos are 11 minutes apart. Log the full shift next time.</t>
        </is>
      </c>
      <c r="K5" s="9" t="n"/>
      <c r="L5" s="9" t="n"/>
    </row>
    <row r="6">
      <c r="A6" s="15" t="n"/>
      <c r="B6" s="9" t="n"/>
      <c r="C6" s="9" t="n"/>
      <c r="D6" s="17" t="n"/>
      <c r="E6" s="17" t="n"/>
      <c r="F6" s="10">
        <f>IF(OR($D6="",$E6=""),"",ROUND(MOD($E6-$D6,1)*24,2))</f>
        <v/>
      </c>
      <c r="G6" s="9" t="n"/>
      <c r="H6" s="10" t="n"/>
      <c r="I6" s="10">
        <f>IF($G6="Approved",IF($H6="",IF($F6="",0,$F6),$H6),0)</f>
        <v/>
      </c>
      <c r="J6" s="9" t="n"/>
      <c r="K6" s="9" t="n"/>
      <c r="L6" s="9" t="n"/>
    </row>
    <row r="7">
      <c r="A7" s="15" t="n"/>
      <c r="B7" s="9" t="n"/>
      <c r="C7" s="9" t="n"/>
      <c r="D7" s="17" t="n"/>
      <c r="E7" s="17" t="n"/>
      <c r="F7" s="10">
        <f>IF(OR($D7="",$E7=""),"",ROUND(MOD($E7-$D7,1)*24,2))</f>
        <v/>
      </c>
      <c r="G7" s="9" t="n"/>
      <c r="H7" s="10" t="n"/>
      <c r="I7" s="10">
        <f>IF($G7="Approved",IF($H7="",IF($F7="",0,$F7),$H7),0)</f>
        <v/>
      </c>
      <c r="J7" s="9" t="n"/>
      <c r="K7" s="9" t="n"/>
      <c r="L7" s="9" t="n"/>
    </row>
    <row r="8">
      <c r="A8" s="15" t="n"/>
      <c r="B8" s="9" t="n"/>
      <c r="C8" s="9" t="n"/>
      <c r="D8" s="17" t="n"/>
      <c r="E8" s="17" t="n"/>
      <c r="F8" s="10">
        <f>IF(OR($D8="",$E8=""),"",ROUND(MOD($E8-$D8,1)*24,2))</f>
        <v/>
      </c>
      <c r="G8" s="9" t="n"/>
      <c r="H8" s="10" t="n"/>
      <c r="I8" s="10">
        <f>IF($G8="Approved",IF($H8="",IF($F8="",0,$F8),$H8),0)</f>
        <v/>
      </c>
      <c r="J8" s="9" t="n"/>
      <c r="K8" s="9" t="n"/>
      <c r="L8" s="9" t="n"/>
    </row>
    <row r="9">
      <c r="A9" s="15" t="n"/>
      <c r="B9" s="9" t="n"/>
      <c r="C9" s="9" t="n"/>
      <c r="D9" s="17" t="n"/>
      <c r="E9" s="17" t="n"/>
      <c r="F9" s="10">
        <f>IF(OR($D9="",$E9=""),"",ROUND(MOD($E9-$D9,1)*24,2))</f>
        <v/>
      </c>
      <c r="G9" s="9" t="n"/>
      <c r="H9" s="10" t="n"/>
      <c r="I9" s="10">
        <f>IF($G9="Approved",IF($H9="",IF($F9="",0,$F9),$H9),0)</f>
        <v/>
      </c>
      <c r="J9" s="9" t="n"/>
      <c r="K9" s="9" t="n"/>
      <c r="L9" s="9" t="n"/>
    </row>
    <row r="10">
      <c r="A10" s="15" t="n"/>
      <c r="B10" s="9" t="n"/>
      <c r="C10" s="9" t="n"/>
      <c r="D10" s="17" t="n"/>
      <c r="E10" s="17" t="n"/>
      <c r="F10" s="10">
        <f>IF(OR($D10="",$E10=""),"",ROUND(MOD($E10-$D10,1)*24,2))</f>
        <v/>
      </c>
      <c r="G10" s="9" t="n"/>
      <c r="H10" s="10" t="n"/>
      <c r="I10" s="10">
        <f>IF($G10="Approved",IF($H10="",IF($F10="",0,$F10),$H10),0)</f>
        <v/>
      </c>
      <c r="J10" s="9" t="n"/>
      <c r="K10" s="9" t="n"/>
      <c r="L10" s="9" t="n"/>
    </row>
    <row r="11">
      <c r="A11" s="15" t="n"/>
      <c r="B11" s="9" t="n"/>
      <c r="C11" s="9" t="n"/>
      <c r="D11" s="17" t="n"/>
      <c r="E11" s="17" t="n"/>
      <c r="F11" s="10">
        <f>IF(OR($D11="",$E11=""),"",ROUND(MOD($E11-$D11,1)*24,2))</f>
        <v/>
      </c>
      <c r="G11" s="9" t="n"/>
      <c r="H11" s="10" t="n"/>
      <c r="I11" s="10">
        <f>IF($G11="Approved",IF($H11="",IF($F11="",0,$F11),$H11),0)</f>
        <v/>
      </c>
      <c r="J11" s="9" t="n"/>
      <c r="K11" s="9" t="n"/>
      <c r="L11" s="9" t="n"/>
    </row>
    <row r="12">
      <c r="A12" s="15" t="n"/>
      <c r="B12" s="9" t="n"/>
      <c r="C12" s="9" t="n"/>
      <c r="D12" s="17" t="n"/>
      <c r="E12" s="17" t="n"/>
      <c r="F12" s="10">
        <f>IF(OR($D12="",$E12=""),"",ROUND(MOD($E12-$D12,1)*24,2))</f>
        <v/>
      </c>
      <c r="G12" s="9" t="n"/>
      <c r="H12" s="10" t="n"/>
      <c r="I12" s="10">
        <f>IF($G12="Approved",IF($H12="",IF($F12="",0,$F12),$H12),0)</f>
        <v/>
      </c>
      <c r="J12" s="9" t="n"/>
      <c r="K12" s="9" t="n"/>
      <c r="L12" s="9" t="n"/>
    </row>
    <row r="13">
      <c r="A13" s="15" t="n"/>
      <c r="B13" s="9" t="n"/>
      <c r="C13" s="9" t="n"/>
      <c r="D13" s="17" t="n"/>
      <c r="E13" s="17" t="n"/>
      <c r="F13" s="10">
        <f>IF(OR($D13="",$E13=""),"",ROUND(MOD($E13-$D13,1)*24,2))</f>
        <v/>
      </c>
      <c r="G13" s="9" t="n"/>
      <c r="H13" s="10" t="n"/>
      <c r="I13" s="10">
        <f>IF($G13="Approved",IF($H13="",IF($F13="",0,$F13),$H13),0)</f>
        <v/>
      </c>
      <c r="J13" s="9" t="n"/>
      <c r="K13" s="9" t="n"/>
      <c r="L13" s="9" t="n"/>
    </row>
    <row r="14">
      <c r="A14" s="15" t="n"/>
      <c r="B14" s="9" t="n"/>
      <c r="C14" s="9" t="n"/>
      <c r="D14" s="17" t="n"/>
      <c r="E14" s="17" t="n"/>
      <c r="F14" s="10">
        <f>IF(OR($D14="",$E14=""),"",ROUND(MOD($E14-$D14,1)*24,2))</f>
        <v/>
      </c>
      <c r="G14" s="9" t="n"/>
      <c r="H14" s="10" t="n"/>
      <c r="I14" s="10">
        <f>IF($G14="Approved",IF($H14="",IF($F14="",0,$F14),$H14),0)</f>
        <v/>
      </c>
      <c r="J14" s="9" t="n"/>
      <c r="K14" s="9" t="n"/>
      <c r="L14" s="9" t="n"/>
    </row>
    <row r="15">
      <c r="A15" s="15" t="n"/>
      <c r="B15" s="9" t="n"/>
      <c r="C15" s="9" t="n"/>
      <c r="D15" s="17" t="n"/>
      <c r="E15" s="17" t="n"/>
      <c r="F15" s="10">
        <f>IF(OR($D15="",$E15=""),"",ROUND(MOD($E15-$D15,1)*24,2))</f>
        <v/>
      </c>
      <c r="G15" s="9" t="n"/>
      <c r="H15" s="10" t="n"/>
      <c r="I15" s="10">
        <f>IF($G15="Approved",IF($H15="",IF($F15="",0,$F15),$H15),0)</f>
        <v/>
      </c>
      <c r="J15" s="9" t="n"/>
      <c r="K15" s="9" t="n"/>
      <c r="L15" s="9" t="n"/>
    </row>
    <row r="16">
      <c r="A16" s="15" t="n"/>
      <c r="B16" s="9" t="n"/>
      <c r="C16" s="9" t="n"/>
      <c r="D16" s="17" t="n"/>
      <c r="E16" s="17" t="n"/>
      <c r="F16" s="10">
        <f>IF(OR($D16="",$E16=""),"",ROUND(MOD($E16-$D16,1)*24,2))</f>
        <v/>
      </c>
      <c r="G16" s="9" t="n"/>
      <c r="H16" s="10" t="n"/>
      <c r="I16" s="10">
        <f>IF($G16="Approved",IF($H16="",IF($F16="",0,$F16),$H16),0)</f>
        <v/>
      </c>
      <c r="J16" s="9" t="n"/>
      <c r="K16" s="9" t="n"/>
      <c r="L16" s="9" t="n"/>
    </row>
    <row r="17">
      <c r="A17" s="15" t="n"/>
      <c r="B17" s="9" t="n"/>
      <c r="C17" s="9" t="n"/>
      <c r="D17" s="17" t="n"/>
      <c r="E17" s="17" t="n"/>
      <c r="F17" s="10">
        <f>IF(OR($D17="",$E17=""),"",ROUND(MOD($E17-$D17,1)*24,2))</f>
        <v/>
      </c>
      <c r="G17" s="9" t="n"/>
      <c r="H17" s="10" t="n"/>
      <c r="I17" s="10">
        <f>IF($G17="Approved",IF($H17="",IF($F17="",0,$F17),$H17),0)</f>
        <v/>
      </c>
      <c r="J17" s="9" t="n"/>
      <c r="K17" s="9" t="n"/>
      <c r="L17" s="9" t="n"/>
    </row>
    <row r="18">
      <c r="A18" s="15" t="n"/>
      <c r="B18" s="9" t="n"/>
      <c r="C18" s="9" t="n"/>
      <c r="D18" s="17" t="n"/>
      <c r="E18" s="17" t="n"/>
      <c r="F18" s="10">
        <f>IF(OR($D18="",$E18=""),"",ROUND(MOD($E18-$D18,1)*24,2))</f>
        <v/>
      </c>
      <c r="G18" s="9" t="n"/>
      <c r="H18" s="10" t="n"/>
      <c r="I18" s="10">
        <f>IF($G18="Approved",IF($H18="",IF($F18="",0,$F18),$H18),0)</f>
        <v/>
      </c>
      <c r="J18" s="9" t="n"/>
      <c r="K18" s="9" t="n"/>
      <c r="L18" s="9" t="n"/>
    </row>
    <row r="19">
      <c r="A19" s="15" t="n"/>
      <c r="B19" s="9" t="n"/>
      <c r="C19" s="9" t="n"/>
      <c r="D19" s="17" t="n"/>
      <c r="E19" s="17" t="n"/>
      <c r="F19" s="10">
        <f>IF(OR($D19="",$E19=""),"",ROUND(MOD($E19-$D19,1)*24,2))</f>
        <v/>
      </c>
      <c r="G19" s="9" t="n"/>
      <c r="H19" s="10" t="n"/>
      <c r="I19" s="10">
        <f>IF($G19="Approved",IF($H19="",IF($F19="",0,$F19),$H19),0)</f>
        <v/>
      </c>
      <c r="J19" s="9" t="n"/>
      <c r="K19" s="9" t="n"/>
      <c r="L19" s="9" t="n"/>
    </row>
    <row r="20">
      <c r="A20" s="15" t="n"/>
      <c r="B20" s="9" t="n"/>
      <c r="C20" s="9" t="n"/>
      <c r="D20" s="17" t="n"/>
      <c r="E20" s="17" t="n"/>
      <c r="F20" s="10">
        <f>IF(OR($D20="",$E20=""),"",ROUND(MOD($E20-$D20,1)*24,2))</f>
        <v/>
      </c>
      <c r="G20" s="9" t="n"/>
      <c r="H20" s="10" t="n"/>
      <c r="I20" s="10">
        <f>IF($G20="Approved",IF($H20="",IF($F20="",0,$F20),$H20),0)</f>
        <v/>
      </c>
      <c r="J20" s="9" t="n"/>
      <c r="K20" s="9" t="n"/>
      <c r="L20" s="9" t="n"/>
    </row>
    <row r="21">
      <c r="A21" s="15" t="n"/>
      <c r="B21" s="9" t="n"/>
      <c r="C21" s="9" t="n"/>
      <c r="D21" s="17" t="n"/>
      <c r="E21" s="17" t="n"/>
      <c r="F21" s="10">
        <f>IF(OR($D21="",$E21=""),"",ROUND(MOD($E21-$D21,1)*24,2))</f>
        <v/>
      </c>
      <c r="G21" s="9" t="n"/>
      <c r="H21" s="10" t="n"/>
      <c r="I21" s="10">
        <f>IF($G21="Approved",IF($H21="",IF($F21="",0,$F21),$H21),0)</f>
        <v/>
      </c>
      <c r="J21" s="9" t="n"/>
      <c r="K21" s="9" t="n"/>
      <c r="L21" s="9" t="n"/>
    </row>
    <row r="22">
      <c r="A22" s="15" t="n"/>
      <c r="B22" s="9" t="n"/>
      <c r="C22" s="9" t="n"/>
      <c r="D22" s="17" t="n"/>
      <c r="E22" s="17" t="n"/>
      <c r="F22" s="10">
        <f>IF(OR($D22="",$E22=""),"",ROUND(MOD($E22-$D22,1)*24,2))</f>
        <v/>
      </c>
      <c r="G22" s="9" t="n"/>
      <c r="H22" s="10" t="n"/>
      <c r="I22" s="10">
        <f>IF($G22="Approved",IF($H22="",IF($F22="",0,$F22),$H22),0)</f>
        <v/>
      </c>
      <c r="J22" s="9" t="n"/>
      <c r="K22" s="9" t="n"/>
      <c r="L22" s="9" t="n"/>
    </row>
    <row r="23">
      <c r="A23" s="15" t="n"/>
      <c r="B23" s="9" t="n"/>
      <c r="C23" s="9" t="n"/>
      <c r="D23" s="17" t="n"/>
      <c r="E23" s="17" t="n"/>
      <c r="F23" s="10">
        <f>IF(OR($D23="",$E23=""),"",ROUND(MOD($E23-$D23,1)*24,2))</f>
        <v/>
      </c>
      <c r="G23" s="9" t="n"/>
      <c r="H23" s="10" t="n"/>
      <c r="I23" s="10">
        <f>IF($G23="Approved",IF($H23="",IF($F23="",0,$F23),$H23),0)</f>
        <v/>
      </c>
      <c r="J23" s="9" t="n"/>
      <c r="K23" s="9" t="n"/>
      <c r="L23" s="9" t="n"/>
    </row>
    <row r="24">
      <c r="A24" s="15" t="n"/>
      <c r="B24" s="9" t="n"/>
      <c r="C24" s="9" t="n"/>
      <c r="D24" s="17" t="n"/>
      <c r="E24" s="17" t="n"/>
      <c r="F24" s="10">
        <f>IF(OR($D24="",$E24=""),"",ROUND(MOD($E24-$D24,1)*24,2))</f>
        <v/>
      </c>
      <c r="G24" s="9" t="n"/>
      <c r="H24" s="10" t="n"/>
      <c r="I24" s="10">
        <f>IF($G24="Approved",IF($H24="",IF($F24="",0,$F24),$H24),0)</f>
        <v/>
      </c>
      <c r="J24" s="9" t="n"/>
      <c r="K24" s="9" t="n"/>
      <c r="L24" s="9" t="n"/>
    </row>
    <row r="25">
      <c r="A25" s="15" t="n"/>
      <c r="B25" s="9" t="n"/>
      <c r="C25" s="9" t="n"/>
      <c r="D25" s="17" t="n"/>
      <c r="E25" s="17" t="n"/>
      <c r="F25" s="10">
        <f>IF(OR($D25="",$E25=""),"",ROUND(MOD($E25-$D25,1)*24,2))</f>
        <v/>
      </c>
      <c r="G25" s="9" t="n"/>
      <c r="H25" s="10" t="n"/>
      <c r="I25" s="10">
        <f>IF($G25="Approved",IF($H25="",IF($F25="",0,$F25),$H25),0)</f>
        <v/>
      </c>
      <c r="J25" s="9" t="n"/>
      <c r="K25" s="9" t="n"/>
      <c r="L25" s="9" t="n"/>
    </row>
    <row r="26">
      <c r="A26" s="15" t="n"/>
      <c r="B26" s="9" t="n"/>
      <c r="C26" s="9" t="n"/>
      <c r="D26" s="17" t="n"/>
      <c r="E26" s="17" t="n"/>
      <c r="F26" s="10">
        <f>IF(OR($D26="",$E26=""),"",ROUND(MOD($E26-$D26,1)*24,2))</f>
        <v/>
      </c>
      <c r="G26" s="9" t="n"/>
      <c r="H26" s="10" t="n"/>
      <c r="I26" s="10">
        <f>IF($G26="Approved",IF($H26="",IF($F26="",0,$F26),$H26),0)</f>
        <v/>
      </c>
      <c r="J26" s="9" t="n"/>
      <c r="K26" s="9" t="n"/>
      <c r="L26" s="9" t="n"/>
    </row>
    <row r="27">
      <c r="A27" s="15" t="n"/>
      <c r="B27" s="9" t="n"/>
      <c r="C27" s="9" t="n"/>
      <c r="D27" s="17" t="n"/>
      <c r="E27" s="17" t="n"/>
      <c r="F27" s="10">
        <f>IF(OR($D27="",$E27=""),"",ROUND(MOD($E27-$D27,1)*24,2))</f>
        <v/>
      </c>
      <c r="G27" s="9" t="n"/>
      <c r="H27" s="10" t="n"/>
      <c r="I27" s="10">
        <f>IF($G27="Approved",IF($H27="",IF($F27="",0,$F27),$H27),0)</f>
        <v/>
      </c>
      <c r="J27" s="9" t="n"/>
      <c r="K27" s="9" t="n"/>
      <c r="L27" s="9" t="n"/>
    </row>
    <row r="28">
      <c r="A28" s="15" t="n"/>
      <c r="B28" s="9" t="n"/>
      <c r="C28" s="9" t="n"/>
      <c r="D28" s="17" t="n"/>
      <c r="E28" s="17" t="n"/>
      <c r="F28" s="10">
        <f>IF(OR($D28="",$E28=""),"",ROUND(MOD($E28-$D28,1)*24,2))</f>
        <v/>
      </c>
      <c r="G28" s="9" t="n"/>
      <c r="H28" s="10" t="n"/>
      <c r="I28" s="10">
        <f>IF($G28="Approved",IF($H28="",IF($F28="",0,$F28),$H28),0)</f>
        <v/>
      </c>
      <c r="J28" s="9" t="n"/>
      <c r="K28" s="9" t="n"/>
      <c r="L28" s="9" t="n"/>
    </row>
    <row r="29">
      <c r="A29" s="15" t="n"/>
      <c r="B29" s="9" t="n"/>
      <c r="C29" s="9" t="n"/>
      <c r="D29" s="17" t="n"/>
      <c r="E29" s="17" t="n"/>
      <c r="F29" s="10">
        <f>IF(OR($D29="",$E29=""),"",ROUND(MOD($E29-$D29,1)*24,2))</f>
        <v/>
      </c>
      <c r="G29" s="9" t="n"/>
      <c r="H29" s="10" t="n"/>
      <c r="I29" s="10">
        <f>IF($G29="Approved",IF($H29="",IF($F29="",0,$F29),$H29),0)</f>
        <v/>
      </c>
      <c r="J29" s="9" t="n"/>
      <c r="K29" s="9" t="n"/>
      <c r="L29" s="9" t="n"/>
    </row>
    <row r="30">
      <c r="A30" s="15" t="n"/>
      <c r="B30" s="9" t="n"/>
      <c r="C30" s="9" t="n"/>
      <c r="D30" s="17" t="n"/>
      <c r="E30" s="17" t="n"/>
      <c r="F30" s="10">
        <f>IF(OR($D30="",$E30=""),"",ROUND(MOD($E30-$D30,1)*24,2))</f>
        <v/>
      </c>
      <c r="G30" s="9" t="n"/>
      <c r="H30" s="10" t="n"/>
      <c r="I30" s="10">
        <f>IF($G30="Approved",IF($H30="",IF($F30="",0,$F30),$H30),0)</f>
        <v/>
      </c>
      <c r="J30" s="9" t="n"/>
      <c r="K30" s="9" t="n"/>
      <c r="L30" s="9" t="n"/>
    </row>
    <row r="31">
      <c r="A31" s="15" t="n"/>
      <c r="B31" s="9" t="n"/>
      <c r="C31" s="9" t="n"/>
      <c r="D31" s="17" t="n"/>
      <c r="E31" s="17" t="n"/>
      <c r="F31" s="10">
        <f>IF(OR($D31="",$E31=""),"",ROUND(MOD($E31-$D31,1)*24,2))</f>
        <v/>
      </c>
      <c r="G31" s="9" t="n"/>
      <c r="H31" s="10" t="n"/>
      <c r="I31" s="10">
        <f>IF($G31="Approved",IF($H31="",IF($F31="",0,$F31),$H31),0)</f>
        <v/>
      </c>
      <c r="J31" s="9" t="n"/>
      <c r="K31" s="9" t="n"/>
      <c r="L31" s="9" t="n"/>
    </row>
    <row r="32">
      <c r="A32" s="15" t="n"/>
      <c r="B32" s="9" t="n"/>
      <c r="C32" s="9" t="n"/>
      <c r="D32" s="17" t="n"/>
      <c r="E32" s="17" t="n"/>
      <c r="F32" s="10">
        <f>IF(OR($D32="",$E32=""),"",ROUND(MOD($E32-$D32,1)*24,2))</f>
        <v/>
      </c>
      <c r="G32" s="9" t="n"/>
      <c r="H32" s="10" t="n"/>
      <c r="I32" s="10">
        <f>IF($G32="Approved",IF($H32="",IF($F32="",0,$F32),$H32),0)</f>
        <v/>
      </c>
      <c r="J32" s="9" t="n"/>
      <c r="K32" s="9" t="n"/>
      <c r="L32" s="9" t="n"/>
    </row>
    <row r="33">
      <c r="A33" s="15" t="n"/>
      <c r="B33" s="9" t="n"/>
      <c r="C33" s="9" t="n"/>
      <c r="D33" s="17" t="n"/>
      <c r="E33" s="17" t="n"/>
      <c r="F33" s="10">
        <f>IF(OR($D33="",$E33=""),"",ROUND(MOD($E33-$D33,1)*24,2))</f>
        <v/>
      </c>
      <c r="G33" s="9" t="n"/>
      <c r="H33" s="10" t="n"/>
      <c r="I33" s="10">
        <f>IF($G33="Approved",IF($H33="",IF($F33="",0,$F33),$H33),0)</f>
        <v/>
      </c>
      <c r="J33" s="9" t="n"/>
      <c r="K33" s="9" t="n"/>
      <c r="L33" s="9" t="n"/>
    </row>
    <row r="34">
      <c r="A34" s="15" t="n"/>
      <c r="B34" s="9" t="n"/>
      <c r="C34" s="9" t="n"/>
      <c r="D34" s="17" t="n"/>
      <c r="E34" s="17" t="n"/>
      <c r="F34" s="10">
        <f>IF(OR($D34="",$E34=""),"",ROUND(MOD($E34-$D34,1)*24,2))</f>
        <v/>
      </c>
      <c r="G34" s="9" t="n"/>
      <c r="H34" s="10" t="n"/>
      <c r="I34" s="10">
        <f>IF($G34="Approved",IF($H34="",IF($F34="",0,$F34),$H34),0)</f>
        <v/>
      </c>
      <c r="J34" s="9" t="n"/>
      <c r="K34" s="9" t="n"/>
      <c r="L34" s="9" t="n"/>
    </row>
    <row r="35">
      <c r="A35" s="15" t="n"/>
      <c r="B35" s="9" t="n"/>
      <c r="C35" s="9" t="n"/>
      <c r="D35" s="17" t="n"/>
      <c r="E35" s="17" t="n"/>
      <c r="F35" s="10">
        <f>IF(OR($D35="",$E35=""),"",ROUND(MOD($E35-$D35,1)*24,2))</f>
        <v/>
      </c>
      <c r="G35" s="9" t="n"/>
      <c r="H35" s="10" t="n"/>
      <c r="I35" s="10">
        <f>IF($G35="Approved",IF($H35="",IF($F35="",0,$F35),$H35),0)</f>
        <v/>
      </c>
      <c r="J35" s="9" t="n"/>
      <c r="K35" s="9" t="n"/>
      <c r="L35" s="9" t="n"/>
    </row>
    <row r="36">
      <c r="A36" s="15" t="n"/>
      <c r="B36" s="9" t="n"/>
      <c r="C36" s="9" t="n"/>
      <c r="D36" s="17" t="n"/>
      <c r="E36" s="17" t="n"/>
      <c r="F36" s="10">
        <f>IF(OR($D36="",$E36=""),"",ROUND(MOD($E36-$D36,1)*24,2))</f>
        <v/>
      </c>
      <c r="G36" s="9" t="n"/>
      <c r="H36" s="10" t="n"/>
      <c r="I36" s="10">
        <f>IF($G36="Approved",IF($H36="",IF($F36="",0,$F36),$H36),0)</f>
        <v/>
      </c>
      <c r="J36" s="9" t="n"/>
      <c r="K36" s="9" t="n"/>
      <c r="L36" s="9" t="n"/>
    </row>
    <row r="37">
      <c r="A37" s="15" t="n"/>
      <c r="B37" s="9" t="n"/>
      <c r="C37" s="9" t="n"/>
      <c r="D37" s="17" t="n"/>
      <c r="E37" s="17" t="n"/>
      <c r="F37" s="10">
        <f>IF(OR($D37="",$E37=""),"",ROUND(MOD($E37-$D37,1)*24,2))</f>
        <v/>
      </c>
      <c r="G37" s="9" t="n"/>
      <c r="H37" s="10" t="n"/>
      <c r="I37" s="10">
        <f>IF($G37="Approved",IF($H37="",IF($F37="",0,$F37),$H37),0)</f>
        <v/>
      </c>
      <c r="J37" s="9" t="n"/>
      <c r="K37" s="9" t="n"/>
      <c r="L37" s="9" t="n"/>
    </row>
    <row r="38">
      <c r="A38" s="15" t="n"/>
      <c r="B38" s="9" t="n"/>
      <c r="C38" s="9" t="n"/>
      <c r="D38" s="17" t="n"/>
      <c r="E38" s="17" t="n"/>
      <c r="F38" s="10">
        <f>IF(OR($D38="",$E38=""),"",ROUND(MOD($E38-$D38,1)*24,2))</f>
        <v/>
      </c>
      <c r="G38" s="9" t="n"/>
      <c r="H38" s="10" t="n"/>
      <c r="I38" s="10">
        <f>IF($G38="Approved",IF($H38="",IF($F38="",0,$F38),$H38),0)</f>
        <v/>
      </c>
      <c r="J38" s="9" t="n"/>
      <c r="K38" s="9" t="n"/>
      <c r="L38" s="9" t="n"/>
    </row>
    <row r="39">
      <c r="A39" s="15" t="n"/>
      <c r="B39" s="9" t="n"/>
      <c r="C39" s="9" t="n"/>
      <c r="D39" s="17" t="n"/>
      <c r="E39" s="17" t="n"/>
      <c r="F39" s="10">
        <f>IF(OR($D39="",$E39=""),"",ROUND(MOD($E39-$D39,1)*24,2))</f>
        <v/>
      </c>
      <c r="G39" s="9" t="n"/>
      <c r="H39" s="10" t="n"/>
      <c r="I39" s="10">
        <f>IF($G39="Approved",IF($H39="",IF($F39="",0,$F39),$H39),0)</f>
        <v/>
      </c>
      <c r="J39" s="9" t="n"/>
      <c r="K39" s="9" t="n"/>
      <c r="L39" s="9" t="n"/>
    </row>
    <row r="40">
      <c r="A40" s="15" t="n"/>
      <c r="B40" s="9" t="n"/>
      <c r="C40" s="9" t="n"/>
      <c r="D40" s="17" t="n"/>
      <c r="E40" s="17" t="n"/>
      <c r="F40" s="10">
        <f>IF(OR($D40="",$E40=""),"",ROUND(MOD($E40-$D40,1)*24,2))</f>
        <v/>
      </c>
      <c r="G40" s="9" t="n"/>
      <c r="H40" s="10" t="n"/>
      <c r="I40" s="10">
        <f>IF($G40="Approved",IF($H40="",IF($F40="",0,$F40),$H40),0)</f>
        <v/>
      </c>
      <c r="J40" s="9" t="n"/>
      <c r="K40" s="9" t="n"/>
      <c r="L40" s="9" t="n"/>
    </row>
    <row r="41">
      <c r="A41" s="15" t="n"/>
      <c r="B41" s="9" t="n"/>
      <c r="C41" s="9" t="n"/>
      <c r="D41" s="17" t="n"/>
      <c r="E41" s="17" t="n"/>
      <c r="F41" s="10">
        <f>IF(OR($D41="",$E41=""),"",ROUND(MOD($E41-$D41,1)*24,2))</f>
        <v/>
      </c>
      <c r="G41" s="9" t="n"/>
      <c r="H41" s="10" t="n"/>
      <c r="I41" s="10">
        <f>IF($G41="Approved",IF($H41="",IF($F41="",0,$F41),$H41),0)</f>
        <v/>
      </c>
      <c r="J41" s="9" t="n"/>
      <c r="K41" s="9" t="n"/>
      <c r="L41" s="9" t="n"/>
    </row>
    <row r="42">
      <c r="A42" s="15" t="n"/>
      <c r="B42" s="9" t="n"/>
      <c r="C42" s="9" t="n"/>
      <c r="D42" s="17" t="n"/>
      <c r="E42" s="17" t="n"/>
      <c r="F42" s="10">
        <f>IF(OR($D42="",$E42=""),"",ROUND(MOD($E42-$D42,1)*24,2))</f>
        <v/>
      </c>
      <c r="G42" s="9" t="n"/>
      <c r="H42" s="10" t="n"/>
      <c r="I42" s="10">
        <f>IF($G42="Approved",IF($H42="",IF($F42="",0,$F42),$H42),0)</f>
        <v/>
      </c>
      <c r="J42" s="9" t="n"/>
      <c r="K42" s="9" t="n"/>
      <c r="L42" s="9" t="n"/>
    </row>
    <row r="43">
      <c r="A43" s="15" t="n"/>
      <c r="B43" s="9" t="n"/>
      <c r="C43" s="9" t="n"/>
      <c r="D43" s="17" t="n"/>
      <c r="E43" s="17" t="n"/>
      <c r="F43" s="10">
        <f>IF(OR($D43="",$E43=""),"",ROUND(MOD($E43-$D43,1)*24,2))</f>
        <v/>
      </c>
      <c r="G43" s="9" t="n"/>
      <c r="H43" s="10" t="n"/>
      <c r="I43" s="10">
        <f>IF($G43="Approved",IF($H43="",IF($F43="",0,$F43),$H43),0)</f>
        <v/>
      </c>
      <c r="J43" s="9" t="n"/>
      <c r="K43" s="9" t="n"/>
      <c r="L43" s="9" t="n"/>
    </row>
    <row r="44">
      <c r="A44" s="15" t="n"/>
      <c r="B44" s="9" t="n"/>
      <c r="C44" s="9" t="n"/>
      <c r="D44" s="17" t="n"/>
      <c r="E44" s="17" t="n"/>
      <c r="F44" s="10">
        <f>IF(OR($D44="",$E44=""),"",ROUND(MOD($E44-$D44,1)*24,2))</f>
        <v/>
      </c>
      <c r="G44" s="9" t="n"/>
      <c r="H44" s="10" t="n"/>
      <c r="I44" s="10">
        <f>IF($G44="Approved",IF($H44="",IF($F44="",0,$F44),$H44),0)</f>
        <v/>
      </c>
      <c r="J44" s="9" t="n"/>
      <c r="K44" s="9" t="n"/>
      <c r="L44" s="9" t="n"/>
    </row>
    <row r="45">
      <c r="A45" s="15" t="n"/>
      <c r="B45" s="9" t="n"/>
      <c r="C45" s="9" t="n"/>
      <c r="D45" s="17" t="n"/>
      <c r="E45" s="17" t="n"/>
      <c r="F45" s="10">
        <f>IF(OR($D45="",$E45=""),"",ROUND(MOD($E45-$D45,1)*24,2))</f>
        <v/>
      </c>
      <c r="G45" s="9" t="n"/>
      <c r="H45" s="10" t="n"/>
      <c r="I45" s="10">
        <f>IF($G45="Approved",IF($H45="",IF($F45="",0,$F45),$H45),0)</f>
        <v/>
      </c>
      <c r="J45" s="9" t="n"/>
      <c r="K45" s="9" t="n"/>
      <c r="L45" s="9" t="n"/>
    </row>
    <row r="46">
      <c r="A46" s="15" t="n"/>
      <c r="B46" s="9" t="n"/>
      <c r="C46" s="9" t="n"/>
      <c r="D46" s="17" t="n"/>
      <c r="E46" s="17" t="n"/>
      <c r="F46" s="10">
        <f>IF(OR($D46="",$E46=""),"",ROUND(MOD($E46-$D46,1)*24,2))</f>
        <v/>
      </c>
      <c r="G46" s="9" t="n"/>
      <c r="H46" s="10" t="n"/>
      <c r="I46" s="10">
        <f>IF($G46="Approved",IF($H46="",IF($F46="",0,$F46),$H46),0)</f>
        <v/>
      </c>
      <c r="J46" s="9" t="n"/>
      <c r="K46" s="9" t="n"/>
      <c r="L46" s="9" t="n"/>
    </row>
    <row r="47">
      <c r="A47" s="15" t="n"/>
      <c r="B47" s="9" t="n"/>
      <c r="C47" s="9" t="n"/>
      <c r="D47" s="17" t="n"/>
      <c r="E47" s="17" t="n"/>
      <c r="F47" s="10">
        <f>IF(OR($D47="",$E47=""),"",ROUND(MOD($E47-$D47,1)*24,2))</f>
        <v/>
      </c>
      <c r="G47" s="9" t="n"/>
      <c r="H47" s="10" t="n"/>
      <c r="I47" s="10">
        <f>IF($G47="Approved",IF($H47="",IF($F47="",0,$F47),$H47),0)</f>
        <v/>
      </c>
      <c r="J47" s="9" t="n"/>
      <c r="K47" s="9" t="n"/>
      <c r="L47" s="9" t="n"/>
    </row>
    <row r="48">
      <c r="A48" s="15" t="n"/>
      <c r="B48" s="9" t="n"/>
      <c r="C48" s="9" t="n"/>
      <c r="D48" s="17" t="n"/>
      <c r="E48" s="17" t="n"/>
      <c r="F48" s="10">
        <f>IF(OR($D48="",$E48=""),"",ROUND(MOD($E48-$D48,1)*24,2))</f>
        <v/>
      </c>
      <c r="G48" s="9" t="n"/>
      <c r="H48" s="10" t="n"/>
      <c r="I48" s="10">
        <f>IF($G48="Approved",IF($H48="",IF($F48="",0,$F48),$H48),0)</f>
        <v/>
      </c>
      <c r="J48" s="9" t="n"/>
      <c r="K48" s="9" t="n"/>
      <c r="L48" s="9" t="n"/>
    </row>
    <row r="49">
      <c r="A49" s="15" t="n"/>
      <c r="B49" s="9" t="n"/>
      <c r="C49" s="9" t="n"/>
      <c r="D49" s="17" t="n"/>
      <c r="E49" s="17" t="n"/>
      <c r="F49" s="10">
        <f>IF(OR($D49="",$E49=""),"",ROUND(MOD($E49-$D49,1)*24,2))</f>
        <v/>
      </c>
      <c r="G49" s="9" t="n"/>
      <c r="H49" s="10" t="n"/>
      <c r="I49" s="10">
        <f>IF($G49="Approved",IF($H49="",IF($F49="",0,$F49),$H49),0)</f>
        <v/>
      </c>
      <c r="J49" s="9" t="n"/>
      <c r="K49" s="9" t="n"/>
      <c r="L49" s="9" t="n"/>
    </row>
    <row r="50">
      <c r="A50" s="15" t="n"/>
      <c r="B50" s="9" t="n"/>
      <c r="C50" s="9" t="n"/>
      <c r="D50" s="17" t="n"/>
      <c r="E50" s="17" t="n"/>
      <c r="F50" s="10">
        <f>IF(OR($D50="",$E50=""),"",ROUND(MOD($E50-$D50,1)*24,2))</f>
        <v/>
      </c>
      <c r="G50" s="9" t="n"/>
      <c r="H50" s="10" t="n"/>
      <c r="I50" s="10">
        <f>IF($G50="Approved",IF($H50="",IF($F50="",0,$F50),$H50),0)</f>
        <v/>
      </c>
      <c r="J50" s="9" t="n"/>
      <c r="K50" s="9" t="n"/>
      <c r="L50" s="9" t="n"/>
    </row>
    <row r="51">
      <c r="A51" s="15" t="n"/>
      <c r="B51" s="9" t="n"/>
      <c r="C51" s="9" t="n"/>
      <c r="D51" s="17" t="n"/>
      <c r="E51" s="17" t="n"/>
      <c r="F51" s="10">
        <f>IF(OR($D51="",$E51=""),"",ROUND(MOD($E51-$D51,1)*24,2))</f>
        <v/>
      </c>
      <c r="G51" s="9" t="n"/>
      <c r="H51" s="10" t="n"/>
      <c r="I51" s="10">
        <f>IF($G51="Approved",IF($H51="",IF($F51="",0,$F51),$H51),0)</f>
        <v/>
      </c>
      <c r="J51" s="9" t="n"/>
      <c r="K51" s="9" t="n"/>
      <c r="L51" s="9" t="n"/>
    </row>
    <row r="52">
      <c r="A52" s="15" t="n"/>
      <c r="B52" s="9" t="n"/>
      <c r="C52" s="9" t="n"/>
      <c r="D52" s="17" t="n"/>
      <c r="E52" s="17" t="n"/>
      <c r="F52" s="10">
        <f>IF(OR($D52="",$E52=""),"",ROUND(MOD($E52-$D52,1)*24,2))</f>
        <v/>
      </c>
      <c r="G52" s="9" t="n"/>
      <c r="H52" s="10" t="n"/>
      <c r="I52" s="10">
        <f>IF($G52="Approved",IF($H52="",IF($F52="",0,$F52),$H52),0)</f>
        <v/>
      </c>
      <c r="J52" s="9" t="n"/>
      <c r="K52" s="9" t="n"/>
      <c r="L52" s="9" t="n"/>
    </row>
    <row r="53">
      <c r="A53" s="15" t="n"/>
      <c r="B53" s="9" t="n"/>
      <c r="C53" s="9" t="n"/>
      <c r="D53" s="17" t="n"/>
      <c r="E53" s="17" t="n"/>
      <c r="F53" s="10">
        <f>IF(OR($D53="",$E53=""),"",ROUND(MOD($E53-$D53,1)*24,2))</f>
        <v/>
      </c>
      <c r="G53" s="9" t="n"/>
      <c r="H53" s="10" t="n"/>
      <c r="I53" s="10">
        <f>IF($G53="Approved",IF($H53="",IF($F53="",0,$F53),$H53),0)</f>
        <v/>
      </c>
      <c r="J53" s="9" t="n"/>
      <c r="K53" s="9" t="n"/>
      <c r="L53" s="9" t="n"/>
    </row>
    <row r="54">
      <c r="A54" s="15" t="n"/>
      <c r="B54" s="9" t="n"/>
      <c r="C54" s="9" t="n"/>
      <c r="D54" s="17" t="n"/>
      <c r="E54" s="17" t="n"/>
      <c r="F54" s="10">
        <f>IF(OR($D54="",$E54=""),"",ROUND(MOD($E54-$D54,1)*24,2))</f>
        <v/>
      </c>
      <c r="G54" s="9" t="n"/>
      <c r="H54" s="10" t="n"/>
      <c r="I54" s="10">
        <f>IF($G54="Approved",IF($H54="",IF($F54="",0,$F54),$H54),0)</f>
        <v/>
      </c>
      <c r="J54" s="9" t="n"/>
      <c r="K54" s="9" t="n"/>
      <c r="L54" s="9" t="n"/>
    </row>
    <row r="55">
      <c r="A55" s="15" t="n"/>
      <c r="B55" s="9" t="n"/>
      <c r="C55" s="9" t="n"/>
      <c r="D55" s="17" t="n"/>
      <c r="E55" s="17" t="n"/>
      <c r="F55" s="10">
        <f>IF(OR($D55="",$E55=""),"",ROUND(MOD($E55-$D55,1)*24,2))</f>
        <v/>
      </c>
      <c r="G55" s="9" t="n"/>
      <c r="H55" s="10" t="n"/>
      <c r="I55" s="10">
        <f>IF($G55="Approved",IF($H55="",IF($F55="",0,$F55),$H55),0)</f>
        <v/>
      </c>
      <c r="J55" s="9" t="n"/>
      <c r="K55" s="9" t="n"/>
      <c r="L55" s="9" t="n"/>
    </row>
    <row r="56">
      <c r="A56" s="15" t="n"/>
      <c r="B56" s="9" t="n"/>
      <c r="C56" s="9" t="n"/>
      <c r="D56" s="17" t="n"/>
      <c r="E56" s="17" t="n"/>
      <c r="F56" s="10">
        <f>IF(OR($D56="",$E56=""),"",ROUND(MOD($E56-$D56,1)*24,2))</f>
        <v/>
      </c>
      <c r="G56" s="9" t="n"/>
      <c r="H56" s="10" t="n"/>
      <c r="I56" s="10">
        <f>IF($G56="Approved",IF($H56="",IF($F56="",0,$F56),$H56),0)</f>
        <v/>
      </c>
      <c r="J56" s="9" t="n"/>
      <c r="K56" s="9" t="n"/>
      <c r="L56" s="9" t="n"/>
    </row>
    <row r="57">
      <c r="A57" s="15" t="n"/>
      <c r="B57" s="9" t="n"/>
      <c r="C57" s="9" t="n"/>
      <c r="D57" s="17" t="n"/>
      <c r="E57" s="17" t="n"/>
      <c r="F57" s="10">
        <f>IF(OR($D57="",$E57=""),"",ROUND(MOD($E57-$D57,1)*24,2))</f>
        <v/>
      </c>
      <c r="G57" s="9" t="n"/>
      <c r="H57" s="10" t="n"/>
      <c r="I57" s="10">
        <f>IF($G57="Approved",IF($H57="",IF($F57="",0,$F57),$H57),0)</f>
        <v/>
      </c>
      <c r="J57" s="9" t="n"/>
      <c r="K57" s="9" t="n"/>
      <c r="L57" s="9" t="n"/>
    </row>
    <row r="58">
      <c r="A58" s="15" t="n"/>
      <c r="B58" s="9" t="n"/>
      <c r="C58" s="9" t="n"/>
      <c r="D58" s="17" t="n"/>
      <c r="E58" s="17" t="n"/>
      <c r="F58" s="10">
        <f>IF(OR($D58="",$E58=""),"",ROUND(MOD($E58-$D58,1)*24,2))</f>
        <v/>
      </c>
      <c r="G58" s="9" t="n"/>
      <c r="H58" s="10" t="n"/>
      <c r="I58" s="10">
        <f>IF($G58="Approved",IF($H58="",IF($F58="",0,$F58),$H58),0)</f>
        <v/>
      </c>
      <c r="J58" s="9" t="n"/>
      <c r="K58" s="9" t="n"/>
      <c r="L58" s="9" t="n"/>
    </row>
    <row r="59">
      <c r="A59" s="15" t="n"/>
      <c r="B59" s="9" t="n"/>
      <c r="C59" s="9" t="n"/>
      <c r="D59" s="17" t="n"/>
      <c r="E59" s="17" t="n"/>
      <c r="F59" s="10">
        <f>IF(OR($D59="",$E59=""),"",ROUND(MOD($E59-$D59,1)*24,2))</f>
        <v/>
      </c>
      <c r="G59" s="9" t="n"/>
      <c r="H59" s="10" t="n"/>
      <c r="I59" s="10">
        <f>IF($G59="Approved",IF($H59="",IF($F59="",0,$F59),$H59),0)</f>
        <v/>
      </c>
      <c r="J59" s="9" t="n"/>
      <c r="K59" s="9" t="n"/>
      <c r="L59" s="9" t="n"/>
    </row>
    <row r="60">
      <c r="A60" s="15" t="n"/>
      <c r="B60" s="9" t="n"/>
      <c r="C60" s="9" t="n"/>
      <c r="D60" s="17" t="n"/>
      <c r="E60" s="17" t="n"/>
      <c r="F60" s="10">
        <f>IF(OR($D60="",$E60=""),"",ROUND(MOD($E60-$D60,1)*24,2))</f>
        <v/>
      </c>
      <c r="G60" s="9" t="n"/>
      <c r="H60" s="10" t="n"/>
      <c r="I60" s="10">
        <f>IF($G60="Approved",IF($H60="",IF($F60="",0,$F60),$H60),0)</f>
        <v/>
      </c>
      <c r="J60" s="9" t="n"/>
      <c r="K60" s="9" t="n"/>
      <c r="L60" s="9" t="n"/>
    </row>
    <row r="61">
      <c r="A61" s="15" t="n"/>
      <c r="B61" s="9" t="n"/>
      <c r="C61" s="9" t="n"/>
      <c r="D61" s="17" t="n"/>
      <c r="E61" s="17" t="n"/>
      <c r="F61" s="10">
        <f>IF(OR($D61="",$E61=""),"",ROUND(MOD($E61-$D61,1)*24,2))</f>
        <v/>
      </c>
      <c r="G61" s="9" t="n"/>
      <c r="H61" s="10" t="n"/>
      <c r="I61" s="10">
        <f>IF($G61="Approved",IF($H61="",IF($F61="",0,$F61),$H61),0)</f>
        <v/>
      </c>
      <c r="J61" s="9" t="n"/>
      <c r="K61" s="9" t="n"/>
      <c r="L61" s="9" t="n"/>
    </row>
    <row r="62">
      <c r="A62" s="15" t="n"/>
      <c r="B62" s="9" t="n"/>
      <c r="C62" s="9" t="n"/>
      <c r="D62" s="17" t="n"/>
      <c r="E62" s="17" t="n"/>
      <c r="F62" s="10">
        <f>IF(OR($D62="",$E62=""),"",ROUND(MOD($E62-$D62,1)*24,2))</f>
        <v/>
      </c>
      <c r="G62" s="9" t="n"/>
      <c r="H62" s="10" t="n"/>
      <c r="I62" s="10">
        <f>IF($G62="Approved",IF($H62="",IF($F62="",0,$F62),$H62),0)</f>
        <v/>
      </c>
      <c r="J62" s="9" t="n"/>
      <c r="K62" s="9" t="n"/>
      <c r="L62" s="9" t="n"/>
    </row>
    <row r="63">
      <c r="A63" s="15" t="n"/>
      <c r="B63" s="9" t="n"/>
      <c r="C63" s="9" t="n"/>
      <c r="D63" s="17" t="n"/>
      <c r="E63" s="17" t="n"/>
      <c r="F63" s="10">
        <f>IF(OR($D63="",$E63=""),"",ROUND(MOD($E63-$D63,1)*24,2))</f>
        <v/>
      </c>
      <c r="G63" s="9" t="n"/>
      <c r="H63" s="10" t="n"/>
      <c r="I63" s="10">
        <f>IF($G63="Approved",IF($H63="",IF($F63="",0,$F63),$H63),0)</f>
        <v/>
      </c>
      <c r="J63" s="9" t="n"/>
      <c r="K63" s="9" t="n"/>
      <c r="L63" s="9" t="n"/>
    </row>
    <row r="64">
      <c r="A64" s="15" t="n"/>
      <c r="B64" s="9" t="n"/>
      <c r="C64" s="9" t="n"/>
      <c r="D64" s="17" t="n"/>
      <c r="E64" s="17" t="n"/>
      <c r="F64" s="10">
        <f>IF(OR($D64="",$E64=""),"",ROUND(MOD($E64-$D64,1)*24,2))</f>
        <v/>
      </c>
      <c r="G64" s="9" t="n"/>
      <c r="H64" s="10" t="n"/>
      <c r="I64" s="10">
        <f>IF($G64="Approved",IF($H64="",IF($F64="",0,$F64),$H64),0)</f>
        <v/>
      </c>
      <c r="J64" s="9" t="n"/>
      <c r="K64" s="9" t="n"/>
      <c r="L64" s="9" t="n"/>
    </row>
    <row r="65">
      <c r="A65" s="15" t="n"/>
      <c r="B65" s="9" t="n"/>
      <c r="C65" s="9" t="n"/>
      <c r="D65" s="17" t="n"/>
      <c r="E65" s="17" t="n"/>
      <c r="F65" s="10">
        <f>IF(OR($D65="",$E65=""),"",ROUND(MOD($E65-$D65,1)*24,2))</f>
        <v/>
      </c>
      <c r="G65" s="9" t="n"/>
      <c r="H65" s="10" t="n"/>
      <c r="I65" s="10">
        <f>IF($G65="Approved",IF($H65="",IF($F65="",0,$F65),$H65),0)</f>
        <v/>
      </c>
      <c r="J65" s="9" t="n"/>
      <c r="K65" s="9" t="n"/>
      <c r="L65" s="9" t="n"/>
    </row>
    <row r="66">
      <c r="A66" s="15" t="n"/>
      <c r="B66" s="9" t="n"/>
      <c r="C66" s="9" t="n"/>
      <c r="D66" s="17" t="n"/>
      <c r="E66" s="17" t="n"/>
      <c r="F66" s="10">
        <f>IF(OR($D66="",$E66=""),"",ROUND(MOD($E66-$D66,1)*24,2))</f>
        <v/>
      </c>
      <c r="G66" s="9" t="n"/>
      <c r="H66" s="10" t="n"/>
      <c r="I66" s="10">
        <f>IF($G66="Approved",IF($H66="",IF($F66="",0,$F66),$H66),0)</f>
        <v/>
      </c>
      <c r="J66" s="9" t="n"/>
      <c r="K66" s="9" t="n"/>
      <c r="L66" s="9" t="n"/>
    </row>
    <row r="67">
      <c r="A67" s="15" t="n"/>
      <c r="B67" s="9" t="n"/>
      <c r="C67" s="9" t="n"/>
      <c r="D67" s="17" t="n"/>
      <c r="E67" s="17" t="n"/>
      <c r="F67" s="10">
        <f>IF(OR($D67="",$E67=""),"",ROUND(MOD($E67-$D67,1)*24,2))</f>
        <v/>
      </c>
      <c r="G67" s="9" t="n"/>
      <c r="H67" s="10" t="n"/>
      <c r="I67" s="10">
        <f>IF($G67="Approved",IF($H67="",IF($F67="",0,$F67),$H67),0)</f>
        <v/>
      </c>
      <c r="J67" s="9" t="n"/>
      <c r="K67" s="9" t="n"/>
      <c r="L67" s="9" t="n"/>
    </row>
    <row r="68">
      <c r="A68" s="15" t="n"/>
      <c r="B68" s="9" t="n"/>
      <c r="C68" s="9" t="n"/>
      <c r="D68" s="17" t="n"/>
      <c r="E68" s="17" t="n"/>
      <c r="F68" s="10">
        <f>IF(OR($D68="",$E68=""),"",ROUND(MOD($E68-$D68,1)*24,2))</f>
        <v/>
      </c>
      <c r="G68" s="9" t="n"/>
      <c r="H68" s="10" t="n"/>
      <c r="I68" s="10">
        <f>IF($G68="Approved",IF($H68="",IF($F68="",0,$F68),$H68),0)</f>
        <v/>
      </c>
      <c r="J68" s="9" t="n"/>
      <c r="K68" s="9" t="n"/>
      <c r="L68" s="9" t="n"/>
    </row>
    <row r="69">
      <c r="A69" s="15" t="n"/>
      <c r="B69" s="9" t="n"/>
      <c r="C69" s="9" t="n"/>
      <c r="D69" s="17" t="n"/>
      <c r="E69" s="17" t="n"/>
      <c r="F69" s="10">
        <f>IF(OR($D69="",$E69=""),"",ROUND(MOD($E69-$D69,1)*24,2))</f>
        <v/>
      </c>
      <c r="G69" s="9" t="n"/>
      <c r="H69" s="10" t="n"/>
      <c r="I69" s="10">
        <f>IF($G69="Approved",IF($H69="",IF($F69="",0,$F69),$H69),0)</f>
        <v/>
      </c>
      <c r="J69" s="9" t="n"/>
      <c r="K69" s="9" t="n"/>
      <c r="L69" s="9" t="n"/>
    </row>
    <row r="70">
      <c r="A70" s="15" t="n"/>
      <c r="B70" s="9" t="n"/>
      <c r="C70" s="9" t="n"/>
      <c r="D70" s="17" t="n"/>
      <c r="E70" s="17" t="n"/>
      <c r="F70" s="10">
        <f>IF(OR($D70="",$E70=""),"",ROUND(MOD($E70-$D70,1)*24,2))</f>
        <v/>
      </c>
      <c r="G70" s="9" t="n"/>
      <c r="H70" s="10" t="n"/>
      <c r="I70" s="10">
        <f>IF($G70="Approved",IF($H70="",IF($F70="",0,$F70),$H70),0)</f>
        <v/>
      </c>
      <c r="J70" s="9" t="n"/>
      <c r="K70" s="9" t="n"/>
      <c r="L70" s="9" t="n"/>
    </row>
    <row r="71">
      <c r="A71" s="15" t="n"/>
      <c r="B71" s="9" t="n"/>
      <c r="C71" s="9" t="n"/>
      <c r="D71" s="17" t="n"/>
      <c r="E71" s="17" t="n"/>
      <c r="F71" s="10">
        <f>IF(OR($D71="",$E71=""),"",ROUND(MOD($E71-$D71,1)*24,2))</f>
        <v/>
      </c>
      <c r="G71" s="9" t="n"/>
      <c r="H71" s="10" t="n"/>
      <c r="I71" s="10">
        <f>IF($G71="Approved",IF($H71="",IF($F71="",0,$F71),$H71),0)</f>
        <v/>
      </c>
      <c r="J71" s="9" t="n"/>
      <c r="K71" s="9" t="n"/>
      <c r="L71" s="9" t="n"/>
    </row>
    <row r="72">
      <c r="A72" s="15" t="n"/>
      <c r="B72" s="9" t="n"/>
      <c r="C72" s="9" t="n"/>
      <c r="D72" s="17" t="n"/>
      <c r="E72" s="17" t="n"/>
      <c r="F72" s="10">
        <f>IF(OR($D72="",$E72=""),"",ROUND(MOD($E72-$D72,1)*24,2))</f>
        <v/>
      </c>
      <c r="G72" s="9" t="n"/>
      <c r="H72" s="10" t="n"/>
      <c r="I72" s="10">
        <f>IF($G72="Approved",IF($H72="",IF($F72="",0,$F72),$H72),0)</f>
        <v/>
      </c>
      <c r="J72" s="9" t="n"/>
      <c r="K72" s="9" t="n"/>
      <c r="L72" s="9" t="n"/>
    </row>
    <row r="73">
      <c r="A73" s="15" t="n"/>
      <c r="B73" s="9" t="n"/>
      <c r="C73" s="9" t="n"/>
      <c r="D73" s="17" t="n"/>
      <c r="E73" s="17" t="n"/>
      <c r="F73" s="10">
        <f>IF(OR($D73="",$E73=""),"",ROUND(MOD($E73-$D73,1)*24,2))</f>
        <v/>
      </c>
      <c r="G73" s="9" t="n"/>
      <c r="H73" s="10" t="n"/>
      <c r="I73" s="10">
        <f>IF($G73="Approved",IF($H73="",IF($F73="",0,$F73),$H73),0)</f>
        <v/>
      </c>
      <c r="J73" s="9" t="n"/>
      <c r="K73" s="9" t="n"/>
      <c r="L73" s="9" t="n"/>
    </row>
    <row r="74">
      <c r="A74" s="15" t="n"/>
      <c r="B74" s="9" t="n"/>
      <c r="C74" s="9" t="n"/>
      <c r="D74" s="17" t="n"/>
      <c r="E74" s="17" t="n"/>
      <c r="F74" s="10">
        <f>IF(OR($D74="",$E74=""),"",ROUND(MOD($E74-$D74,1)*24,2))</f>
        <v/>
      </c>
      <c r="G74" s="9" t="n"/>
      <c r="H74" s="10" t="n"/>
      <c r="I74" s="10">
        <f>IF($G74="Approved",IF($H74="",IF($F74="",0,$F74),$H74),0)</f>
        <v/>
      </c>
      <c r="J74" s="9" t="n"/>
      <c r="K74" s="9" t="n"/>
      <c r="L74" s="9" t="n"/>
    </row>
    <row r="75">
      <c r="A75" s="15" t="n"/>
      <c r="B75" s="9" t="n"/>
      <c r="C75" s="9" t="n"/>
      <c r="D75" s="17" t="n"/>
      <c r="E75" s="17" t="n"/>
      <c r="F75" s="10">
        <f>IF(OR($D75="",$E75=""),"",ROUND(MOD($E75-$D75,1)*24,2))</f>
        <v/>
      </c>
      <c r="G75" s="9" t="n"/>
      <c r="H75" s="10" t="n"/>
      <c r="I75" s="10">
        <f>IF($G75="Approved",IF($H75="",IF($F75="",0,$F75),$H75),0)</f>
        <v/>
      </c>
      <c r="J75" s="9" t="n"/>
      <c r="K75" s="9" t="n"/>
      <c r="L75" s="9" t="n"/>
    </row>
    <row r="76">
      <c r="A76" s="15" t="n"/>
      <c r="B76" s="9" t="n"/>
      <c r="C76" s="9" t="n"/>
      <c r="D76" s="17" t="n"/>
      <c r="E76" s="17" t="n"/>
      <c r="F76" s="10">
        <f>IF(OR($D76="",$E76=""),"",ROUND(MOD($E76-$D76,1)*24,2))</f>
        <v/>
      </c>
      <c r="G76" s="9" t="n"/>
      <c r="H76" s="10" t="n"/>
      <c r="I76" s="10">
        <f>IF($G76="Approved",IF($H76="",IF($F76="",0,$F76),$H76),0)</f>
        <v/>
      </c>
      <c r="J76" s="9" t="n"/>
      <c r="K76" s="9" t="n"/>
      <c r="L76" s="9" t="n"/>
    </row>
    <row r="77">
      <c r="A77" s="15" t="n"/>
      <c r="B77" s="9" t="n"/>
      <c r="C77" s="9" t="n"/>
      <c r="D77" s="17" t="n"/>
      <c r="E77" s="17" t="n"/>
      <c r="F77" s="10">
        <f>IF(OR($D77="",$E77=""),"",ROUND(MOD($E77-$D77,1)*24,2))</f>
        <v/>
      </c>
      <c r="G77" s="9" t="n"/>
      <c r="H77" s="10" t="n"/>
      <c r="I77" s="10">
        <f>IF($G77="Approved",IF($H77="",IF($F77="",0,$F77),$H77),0)</f>
        <v/>
      </c>
      <c r="J77" s="9" t="n"/>
      <c r="K77" s="9" t="n"/>
      <c r="L77" s="9" t="n"/>
    </row>
    <row r="78">
      <c r="A78" s="15" t="n"/>
      <c r="B78" s="9" t="n"/>
      <c r="C78" s="9" t="n"/>
      <c r="D78" s="17" t="n"/>
      <c r="E78" s="17" t="n"/>
      <c r="F78" s="10">
        <f>IF(OR($D78="",$E78=""),"",ROUND(MOD($E78-$D78,1)*24,2))</f>
        <v/>
      </c>
      <c r="G78" s="9" t="n"/>
      <c r="H78" s="10" t="n"/>
      <c r="I78" s="10">
        <f>IF($G78="Approved",IF($H78="",IF($F78="",0,$F78),$H78),0)</f>
        <v/>
      </c>
      <c r="J78" s="9" t="n"/>
      <c r="K78" s="9" t="n"/>
      <c r="L78" s="9" t="n"/>
    </row>
    <row r="79">
      <c r="A79" s="15" t="n"/>
      <c r="B79" s="9" t="n"/>
      <c r="C79" s="9" t="n"/>
      <c r="D79" s="17" t="n"/>
      <c r="E79" s="17" t="n"/>
      <c r="F79" s="10">
        <f>IF(OR($D79="",$E79=""),"",ROUND(MOD($E79-$D79,1)*24,2))</f>
        <v/>
      </c>
      <c r="G79" s="9" t="n"/>
      <c r="H79" s="10" t="n"/>
      <c r="I79" s="10">
        <f>IF($G79="Approved",IF($H79="",IF($F79="",0,$F79),$H79),0)</f>
        <v/>
      </c>
      <c r="J79" s="9" t="n"/>
      <c r="K79" s="9" t="n"/>
      <c r="L79" s="9" t="n"/>
    </row>
    <row r="80">
      <c r="A80" s="15" t="n"/>
      <c r="B80" s="9" t="n"/>
      <c r="C80" s="9" t="n"/>
      <c r="D80" s="17" t="n"/>
      <c r="E80" s="17" t="n"/>
      <c r="F80" s="10">
        <f>IF(OR($D80="",$E80=""),"",ROUND(MOD($E80-$D80,1)*24,2))</f>
        <v/>
      </c>
      <c r="G80" s="9" t="n"/>
      <c r="H80" s="10" t="n"/>
      <c r="I80" s="10">
        <f>IF($G80="Approved",IF($H80="",IF($F80="",0,$F80),$H80),0)</f>
        <v/>
      </c>
      <c r="J80" s="9" t="n"/>
      <c r="K80" s="9" t="n"/>
      <c r="L80" s="9" t="n"/>
    </row>
    <row r="81">
      <c r="A81" s="15" t="n"/>
      <c r="B81" s="9" t="n"/>
      <c r="C81" s="9" t="n"/>
      <c r="D81" s="17" t="n"/>
      <c r="E81" s="17" t="n"/>
      <c r="F81" s="10">
        <f>IF(OR($D81="",$E81=""),"",ROUND(MOD($E81-$D81,1)*24,2))</f>
        <v/>
      </c>
      <c r="G81" s="9" t="n"/>
      <c r="H81" s="10" t="n"/>
      <c r="I81" s="10">
        <f>IF($G81="Approved",IF($H81="",IF($F81="",0,$F81),$H81),0)</f>
        <v/>
      </c>
      <c r="J81" s="9" t="n"/>
      <c r="K81" s="9" t="n"/>
      <c r="L81" s="9" t="n"/>
    </row>
    <row r="82">
      <c r="A82" s="15" t="n"/>
      <c r="B82" s="9" t="n"/>
      <c r="C82" s="9" t="n"/>
      <c r="D82" s="17" t="n"/>
      <c r="E82" s="17" t="n"/>
      <c r="F82" s="10">
        <f>IF(OR($D82="",$E82=""),"",ROUND(MOD($E82-$D82,1)*24,2))</f>
        <v/>
      </c>
      <c r="G82" s="9" t="n"/>
      <c r="H82" s="10" t="n"/>
      <c r="I82" s="10">
        <f>IF($G82="Approved",IF($H82="",IF($F82="",0,$F82),$H82),0)</f>
        <v/>
      </c>
      <c r="J82" s="9" t="n"/>
      <c r="K82" s="9" t="n"/>
      <c r="L82" s="9" t="n"/>
    </row>
    <row r="83">
      <c r="A83" s="15" t="n"/>
      <c r="B83" s="9" t="n"/>
      <c r="C83" s="9" t="n"/>
      <c r="D83" s="17" t="n"/>
      <c r="E83" s="17" t="n"/>
      <c r="F83" s="10">
        <f>IF(OR($D83="",$E83=""),"",ROUND(MOD($E83-$D83,1)*24,2))</f>
        <v/>
      </c>
      <c r="G83" s="9" t="n"/>
      <c r="H83" s="10" t="n"/>
      <c r="I83" s="10">
        <f>IF($G83="Approved",IF($H83="",IF($F83="",0,$F83),$H83),0)</f>
        <v/>
      </c>
      <c r="J83" s="9" t="n"/>
      <c r="K83" s="9" t="n"/>
      <c r="L83" s="9" t="n"/>
    </row>
    <row r="84">
      <c r="A84" s="15" t="n"/>
      <c r="B84" s="9" t="n"/>
      <c r="C84" s="9" t="n"/>
      <c r="D84" s="17" t="n"/>
      <c r="E84" s="17" t="n"/>
      <c r="F84" s="10">
        <f>IF(OR($D84="",$E84=""),"",ROUND(MOD($E84-$D84,1)*24,2))</f>
        <v/>
      </c>
      <c r="G84" s="9" t="n"/>
      <c r="H84" s="10" t="n"/>
      <c r="I84" s="10">
        <f>IF($G84="Approved",IF($H84="",IF($F84="",0,$F84),$H84),0)</f>
        <v/>
      </c>
      <c r="J84" s="9" t="n"/>
      <c r="K84" s="9" t="n"/>
      <c r="L84" s="9" t="n"/>
    </row>
    <row r="85">
      <c r="A85" s="15" t="n"/>
      <c r="B85" s="9" t="n"/>
      <c r="C85" s="9" t="n"/>
      <c r="D85" s="17" t="n"/>
      <c r="E85" s="17" t="n"/>
      <c r="F85" s="10">
        <f>IF(OR($D85="",$E85=""),"",ROUND(MOD($E85-$D85,1)*24,2))</f>
        <v/>
      </c>
      <c r="G85" s="9" t="n"/>
      <c r="H85" s="10" t="n"/>
      <c r="I85" s="10">
        <f>IF($G85="Approved",IF($H85="",IF($F85="",0,$F85),$H85),0)</f>
        <v/>
      </c>
      <c r="J85" s="9" t="n"/>
      <c r="K85" s="9" t="n"/>
      <c r="L85" s="9" t="n"/>
    </row>
    <row r="86">
      <c r="A86" s="15" t="n"/>
      <c r="B86" s="9" t="n"/>
      <c r="C86" s="9" t="n"/>
      <c r="D86" s="17" t="n"/>
      <c r="E86" s="17" t="n"/>
      <c r="F86" s="10">
        <f>IF(OR($D86="",$E86=""),"",ROUND(MOD($E86-$D86,1)*24,2))</f>
        <v/>
      </c>
      <c r="G86" s="9" t="n"/>
      <c r="H86" s="10" t="n"/>
      <c r="I86" s="10">
        <f>IF($G86="Approved",IF($H86="",IF($F86="",0,$F86),$H86),0)</f>
        <v/>
      </c>
      <c r="J86" s="9" t="n"/>
      <c r="K86" s="9" t="n"/>
      <c r="L86" s="9" t="n"/>
    </row>
    <row r="87">
      <c r="A87" s="15" t="n"/>
      <c r="B87" s="9" t="n"/>
      <c r="C87" s="9" t="n"/>
      <c r="D87" s="17" t="n"/>
      <c r="E87" s="17" t="n"/>
      <c r="F87" s="10">
        <f>IF(OR($D87="",$E87=""),"",ROUND(MOD($E87-$D87,1)*24,2))</f>
        <v/>
      </c>
      <c r="G87" s="9" t="n"/>
      <c r="H87" s="10" t="n"/>
      <c r="I87" s="10">
        <f>IF($G87="Approved",IF($H87="",IF($F87="",0,$F87),$H87),0)</f>
        <v/>
      </c>
      <c r="J87" s="9" t="n"/>
      <c r="K87" s="9" t="n"/>
      <c r="L87" s="9" t="n"/>
    </row>
    <row r="88">
      <c r="A88" s="15" t="n"/>
      <c r="B88" s="9" t="n"/>
      <c r="C88" s="9" t="n"/>
      <c r="D88" s="17" t="n"/>
      <c r="E88" s="17" t="n"/>
      <c r="F88" s="10">
        <f>IF(OR($D88="",$E88=""),"",ROUND(MOD($E88-$D88,1)*24,2))</f>
        <v/>
      </c>
      <c r="G88" s="9" t="n"/>
      <c r="H88" s="10" t="n"/>
      <c r="I88" s="10">
        <f>IF($G88="Approved",IF($H88="",IF($F88="",0,$F88),$H88),0)</f>
        <v/>
      </c>
      <c r="J88" s="9" t="n"/>
      <c r="K88" s="9" t="n"/>
      <c r="L88" s="9" t="n"/>
    </row>
    <row r="89">
      <c r="A89" s="15" t="n"/>
      <c r="B89" s="9" t="n"/>
      <c r="C89" s="9" t="n"/>
      <c r="D89" s="17" t="n"/>
      <c r="E89" s="17" t="n"/>
      <c r="F89" s="10">
        <f>IF(OR($D89="",$E89=""),"",ROUND(MOD($E89-$D89,1)*24,2))</f>
        <v/>
      </c>
      <c r="G89" s="9" t="n"/>
      <c r="H89" s="10" t="n"/>
      <c r="I89" s="10">
        <f>IF($G89="Approved",IF($H89="",IF($F89="",0,$F89),$H89),0)</f>
        <v/>
      </c>
      <c r="J89" s="9" t="n"/>
      <c r="K89" s="9" t="n"/>
      <c r="L89" s="9" t="n"/>
    </row>
    <row r="90">
      <c r="A90" s="15" t="n"/>
      <c r="B90" s="9" t="n"/>
      <c r="C90" s="9" t="n"/>
      <c r="D90" s="17" t="n"/>
      <c r="E90" s="17" t="n"/>
      <c r="F90" s="10">
        <f>IF(OR($D90="",$E90=""),"",ROUND(MOD($E90-$D90,1)*24,2))</f>
        <v/>
      </c>
      <c r="G90" s="9" t="n"/>
      <c r="H90" s="10" t="n"/>
      <c r="I90" s="10">
        <f>IF($G90="Approved",IF($H90="",IF($F90="",0,$F90),$H90),0)</f>
        <v/>
      </c>
      <c r="J90" s="9" t="n"/>
      <c r="K90" s="9" t="n"/>
      <c r="L90" s="9" t="n"/>
    </row>
    <row r="91">
      <c r="A91" s="15" t="n"/>
      <c r="B91" s="9" t="n"/>
      <c r="C91" s="9" t="n"/>
      <c r="D91" s="17" t="n"/>
      <c r="E91" s="17" t="n"/>
      <c r="F91" s="10">
        <f>IF(OR($D91="",$E91=""),"",ROUND(MOD($E91-$D91,1)*24,2))</f>
        <v/>
      </c>
      <c r="G91" s="9" t="n"/>
      <c r="H91" s="10" t="n"/>
      <c r="I91" s="10">
        <f>IF($G91="Approved",IF($H91="",IF($F91="",0,$F91),$H91),0)</f>
        <v/>
      </c>
      <c r="J91" s="9" t="n"/>
      <c r="K91" s="9" t="n"/>
      <c r="L91" s="9" t="n"/>
    </row>
    <row r="92">
      <c r="A92" s="15" t="n"/>
      <c r="B92" s="9" t="n"/>
      <c r="C92" s="9" t="n"/>
      <c r="D92" s="17" t="n"/>
      <c r="E92" s="17" t="n"/>
      <c r="F92" s="10">
        <f>IF(OR($D92="",$E92=""),"",ROUND(MOD($E92-$D92,1)*24,2))</f>
        <v/>
      </c>
      <c r="G92" s="9" t="n"/>
      <c r="H92" s="10" t="n"/>
      <c r="I92" s="10">
        <f>IF($G92="Approved",IF($H92="",IF($F92="",0,$F92),$H92),0)</f>
        <v/>
      </c>
      <c r="J92" s="9" t="n"/>
      <c r="K92" s="9" t="n"/>
      <c r="L92" s="9" t="n"/>
    </row>
    <row r="93">
      <c r="A93" s="15" t="n"/>
      <c r="B93" s="9" t="n"/>
      <c r="C93" s="9" t="n"/>
      <c r="D93" s="17" t="n"/>
      <c r="E93" s="17" t="n"/>
      <c r="F93" s="10">
        <f>IF(OR($D93="",$E93=""),"",ROUND(MOD($E93-$D93,1)*24,2))</f>
        <v/>
      </c>
      <c r="G93" s="9" t="n"/>
      <c r="H93" s="10" t="n"/>
      <c r="I93" s="10">
        <f>IF($G93="Approved",IF($H93="",IF($F93="",0,$F93),$H93),0)</f>
        <v/>
      </c>
      <c r="J93" s="9" t="n"/>
      <c r="K93" s="9" t="n"/>
      <c r="L93" s="9" t="n"/>
    </row>
    <row r="94">
      <c r="A94" s="15" t="n"/>
      <c r="B94" s="9" t="n"/>
      <c r="C94" s="9" t="n"/>
      <c r="D94" s="17" t="n"/>
      <c r="E94" s="17" t="n"/>
      <c r="F94" s="10">
        <f>IF(OR($D94="",$E94=""),"",ROUND(MOD($E94-$D94,1)*24,2))</f>
        <v/>
      </c>
      <c r="G94" s="9" t="n"/>
      <c r="H94" s="10" t="n"/>
      <c r="I94" s="10">
        <f>IF($G94="Approved",IF($H94="",IF($F94="",0,$F94),$H94),0)</f>
        <v/>
      </c>
      <c r="J94" s="9" t="n"/>
      <c r="K94" s="9" t="n"/>
      <c r="L94" s="9" t="n"/>
    </row>
    <row r="95">
      <c r="A95" s="15" t="n"/>
      <c r="B95" s="9" t="n"/>
      <c r="C95" s="9" t="n"/>
      <c r="D95" s="17" t="n"/>
      <c r="E95" s="17" t="n"/>
      <c r="F95" s="10">
        <f>IF(OR($D95="",$E95=""),"",ROUND(MOD($E95-$D95,1)*24,2))</f>
        <v/>
      </c>
      <c r="G95" s="9" t="n"/>
      <c r="H95" s="10" t="n"/>
      <c r="I95" s="10">
        <f>IF($G95="Approved",IF($H95="",IF($F95="",0,$F95),$H95),0)</f>
        <v/>
      </c>
      <c r="J95" s="9" t="n"/>
      <c r="K95" s="9" t="n"/>
      <c r="L95" s="9" t="n"/>
    </row>
    <row r="96">
      <c r="A96" s="15" t="n"/>
      <c r="B96" s="9" t="n"/>
      <c r="C96" s="9" t="n"/>
      <c r="D96" s="17" t="n"/>
      <c r="E96" s="17" t="n"/>
      <c r="F96" s="10">
        <f>IF(OR($D96="",$E96=""),"",ROUND(MOD($E96-$D96,1)*24,2))</f>
        <v/>
      </c>
      <c r="G96" s="9" t="n"/>
      <c r="H96" s="10" t="n"/>
      <c r="I96" s="10">
        <f>IF($G96="Approved",IF($H96="",IF($F96="",0,$F96),$H96),0)</f>
        <v/>
      </c>
      <c r="J96" s="9" t="n"/>
      <c r="K96" s="9" t="n"/>
      <c r="L96" s="9" t="n"/>
    </row>
    <row r="97">
      <c r="A97" s="15" t="n"/>
      <c r="B97" s="9" t="n"/>
      <c r="C97" s="9" t="n"/>
      <c r="D97" s="17" t="n"/>
      <c r="E97" s="17" t="n"/>
      <c r="F97" s="10">
        <f>IF(OR($D97="",$E97=""),"",ROUND(MOD($E97-$D97,1)*24,2))</f>
        <v/>
      </c>
      <c r="G97" s="9" t="n"/>
      <c r="H97" s="10" t="n"/>
      <c r="I97" s="10">
        <f>IF($G97="Approved",IF($H97="",IF($F97="",0,$F97),$H97),0)</f>
        <v/>
      </c>
      <c r="J97" s="9" t="n"/>
      <c r="K97" s="9" t="n"/>
      <c r="L97" s="9" t="n"/>
    </row>
    <row r="98">
      <c r="A98" s="15" t="n"/>
      <c r="B98" s="9" t="n"/>
      <c r="C98" s="9" t="n"/>
      <c r="D98" s="17" t="n"/>
      <c r="E98" s="17" t="n"/>
      <c r="F98" s="10">
        <f>IF(OR($D98="",$E98=""),"",ROUND(MOD($E98-$D98,1)*24,2))</f>
        <v/>
      </c>
      <c r="G98" s="9" t="n"/>
      <c r="H98" s="10" t="n"/>
      <c r="I98" s="10">
        <f>IF($G98="Approved",IF($H98="",IF($F98="",0,$F98),$H98),0)</f>
        <v/>
      </c>
      <c r="J98" s="9" t="n"/>
      <c r="K98" s="9" t="n"/>
      <c r="L98" s="9" t="n"/>
    </row>
    <row r="99">
      <c r="A99" s="15" t="n"/>
      <c r="B99" s="9" t="n"/>
      <c r="C99" s="9" t="n"/>
      <c r="D99" s="17" t="n"/>
      <c r="E99" s="17" t="n"/>
      <c r="F99" s="10">
        <f>IF(OR($D99="",$E99=""),"",ROUND(MOD($E99-$D99,1)*24,2))</f>
        <v/>
      </c>
      <c r="G99" s="9" t="n"/>
      <c r="H99" s="10" t="n"/>
      <c r="I99" s="10">
        <f>IF($G99="Approved",IF($H99="",IF($F99="",0,$F99),$H99),0)</f>
        <v/>
      </c>
      <c r="J99" s="9" t="n"/>
      <c r="K99" s="9" t="n"/>
      <c r="L99" s="9" t="n"/>
    </row>
    <row r="100">
      <c r="A100" s="15" t="n"/>
      <c r="B100" s="9" t="n"/>
      <c r="C100" s="9" t="n"/>
      <c r="D100" s="17" t="n"/>
      <c r="E100" s="17" t="n"/>
      <c r="F100" s="10">
        <f>IF(OR($D100="",$E100=""),"",ROUND(MOD($E100-$D100,1)*24,2))</f>
        <v/>
      </c>
      <c r="G100" s="9" t="n"/>
      <c r="H100" s="10" t="n"/>
      <c r="I100" s="10">
        <f>IF($G100="Approved",IF($H100="",IF($F100="",0,$F100),$H100),0)</f>
        <v/>
      </c>
      <c r="J100" s="9" t="n"/>
      <c r="K100" s="9" t="n"/>
      <c r="L100" s="9" t="n"/>
    </row>
    <row r="101">
      <c r="A101" s="15" t="n"/>
      <c r="B101" s="9" t="n"/>
      <c r="C101" s="9" t="n"/>
      <c r="D101" s="17" t="n"/>
      <c r="E101" s="17" t="n"/>
      <c r="F101" s="10">
        <f>IF(OR($D101="",$E101=""),"",ROUND(MOD($E101-$D101,1)*24,2))</f>
        <v/>
      </c>
      <c r="G101" s="9" t="n"/>
      <c r="H101" s="10" t="n"/>
      <c r="I101" s="10">
        <f>IF($G101="Approved",IF($H101="",IF($F101="",0,$F101),$H101),0)</f>
        <v/>
      </c>
      <c r="J101" s="9" t="n"/>
      <c r="K101" s="9" t="n"/>
      <c r="L101" s="9" t="n"/>
    </row>
    <row r="102">
      <c r="A102" s="15" t="n"/>
      <c r="B102" s="9" t="n"/>
      <c r="C102" s="9" t="n"/>
      <c r="D102" s="17" t="n"/>
      <c r="E102" s="17" t="n"/>
      <c r="F102" s="10">
        <f>IF(OR($D102="",$E102=""),"",ROUND(MOD($E102-$D102,1)*24,2))</f>
        <v/>
      </c>
      <c r="G102" s="9" t="n"/>
      <c r="H102" s="10" t="n"/>
      <c r="I102" s="10">
        <f>IF($G102="Approved",IF($H102="",IF($F102="",0,$F102),$H102),0)</f>
        <v/>
      </c>
      <c r="J102" s="9" t="n"/>
      <c r="K102" s="9" t="n"/>
      <c r="L102" s="9" t="n"/>
    </row>
    <row r="103">
      <c r="A103" s="15" t="n"/>
      <c r="B103" s="9" t="n"/>
      <c r="C103" s="9" t="n"/>
      <c r="D103" s="17" t="n"/>
      <c r="E103" s="17" t="n"/>
      <c r="F103" s="10">
        <f>IF(OR($D103="",$E103=""),"",ROUND(MOD($E103-$D103,1)*24,2))</f>
        <v/>
      </c>
      <c r="G103" s="9" t="n"/>
      <c r="H103" s="10" t="n"/>
      <c r="I103" s="10">
        <f>IF($G103="Approved",IF($H103="",IF($F103="",0,$F103),$H103),0)</f>
        <v/>
      </c>
      <c r="J103" s="9" t="n"/>
      <c r="K103" s="9" t="n"/>
      <c r="L103" s="9" t="n"/>
    </row>
    <row r="104">
      <c r="A104" s="15" t="n"/>
      <c r="B104" s="9" t="n"/>
      <c r="C104" s="9" t="n"/>
      <c r="D104" s="17" t="n"/>
      <c r="E104" s="17" t="n"/>
      <c r="F104" s="10">
        <f>IF(OR($D104="",$E104=""),"",ROUND(MOD($E104-$D104,1)*24,2))</f>
        <v/>
      </c>
      <c r="G104" s="9" t="n"/>
      <c r="H104" s="10" t="n"/>
      <c r="I104" s="10">
        <f>IF($G104="Approved",IF($H104="",IF($F104="",0,$F104),$H104),0)</f>
        <v/>
      </c>
      <c r="J104" s="9" t="n"/>
      <c r="K104" s="9" t="n"/>
      <c r="L104" s="9" t="n"/>
    </row>
    <row r="105">
      <c r="A105" s="15" t="n"/>
      <c r="B105" s="9" t="n"/>
      <c r="C105" s="9" t="n"/>
      <c r="D105" s="17" t="n"/>
      <c r="E105" s="17" t="n"/>
      <c r="F105" s="10">
        <f>IF(OR($D105="",$E105=""),"",ROUND(MOD($E105-$D105,1)*24,2))</f>
        <v/>
      </c>
      <c r="G105" s="9" t="n"/>
      <c r="H105" s="10" t="n"/>
      <c r="I105" s="10">
        <f>IF($G105="Approved",IF($H105="",IF($F105="",0,$F105),$H105),0)</f>
        <v/>
      </c>
      <c r="J105" s="9" t="n"/>
      <c r="K105" s="9" t="n"/>
      <c r="L105" s="9" t="n"/>
    </row>
    <row r="106">
      <c r="A106" s="15" t="n"/>
      <c r="B106" s="9" t="n"/>
      <c r="C106" s="9" t="n"/>
      <c r="D106" s="17" t="n"/>
      <c r="E106" s="17" t="n"/>
      <c r="F106" s="10">
        <f>IF(OR($D106="",$E106=""),"",ROUND(MOD($E106-$D106,1)*24,2))</f>
        <v/>
      </c>
      <c r="G106" s="9" t="n"/>
      <c r="H106" s="10" t="n"/>
      <c r="I106" s="10">
        <f>IF($G106="Approved",IF($H106="",IF($F106="",0,$F106),$H106),0)</f>
        <v/>
      </c>
      <c r="J106" s="9" t="n"/>
      <c r="K106" s="9" t="n"/>
      <c r="L106" s="9" t="n"/>
    </row>
    <row r="107">
      <c r="A107" s="15" t="n"/>
      <c r="B107" s="9" t="n"/>
      <c r="C107" s="9" t="n"/>
      <c r="D107" s="17" t="n"/>
      <c r="E107" s="17" t="n"/>
      <c r="F107" s="10">
        <f>IF(OR($D107="",$E107=""),"",ROUND(MOD($E107-$D107,1)*24,2))</f>
        <v/>
      </c>
      <c r="G107" s="9" t="n"/>
      <c r="H107" s="10" t="n"/>
      <c r="I107" s="10">
        <f>IF($G107="Approved",IF($H107="",IF($F107="",0,$F107),$H107),0)</f>
        <v/>
      </c>
      <c r="J107" s="9" t="n"/>
      <c r="K107" s="9" t="n"/>
      <c r="L107" s="9" t="n"/>
    </row>
    <row r="108">
      <c r="A108" s="15" t="n"/>
      <c r="B108" s="9" t="n"/>
      <c r="C108" s="9" t="n"/>
      <c r="D108" s="17" t="n"/>
      <c r="E108" s="17" t="n"/>
      <c r="F108" s="10">
        <f>IF(OR($D108="",$E108=""),"",ROUND(MOD($E108-$D108,1)*24,2))</f>
        <v/>
      </c>
      <c r="G108" s="9" t="n"/>
      <c r="H108" s="10" t="n"/>
      <c r="I108" s="10">
        <f>IF($G108="Approved",IF($H108="",IF($F108="",0,$F108),$H108),0)</f>
        <v/>
      </c>
      <c r="J108" s="9" t="n"/>
      <c r="K108" s="9" t="n"/>
      <c r="L108" s="9" t="n"/>
    </row>
    <row r="109">
      <c r="A109" s="15" t="n"/>
      <c r="B109" s="9" t="n"/>
      <c r="C109" s="9" t="n"/>
      <c r="D109" s="17" t="n"/>
      <c r="E109" s="17" t="n"/>
      <c r="F109" s="10">
        <f>IF(OR($D109="",$E109=""),"",ROUND(MOD($E109-$D109,1)*24,2))</f>
        <v/>
      </c>
      <c r="G109" s="9" t="n"/>
      <c r="H109" s="10" t="n"/>
      <c r="I109" s="10">
        <f>IF($G109="Approved",IF($H109="",IF($F109="",0,$F109),$H109),0)</f>
        <v/>
      </c>
      <c r="J109" s="9" t="n"/>
      <c r="K109" s="9" t="n"/>
      <c r="L109" s="9" t="n"/>
    </row>
    <row r="110">
      <c r="A110" s="15" t="n"/>
      <c r="B110" s="9" t="n"/>
      <c r="C110" s="9" t="n"/>
      <c r="D110" s="17" t="n"/>
      <c r="E110" s="17" t="n"/>
      <c r="F110" s="10">
        <f>IF(OR($D110="",$E110=""),"",ROUND(MOD($E110-$D110,1)*24,2))</f>
        <v/>
      </c>
      <c r="G110" s="9" t="n"/>
      <c r="H110" s="10" t="n"/>
      <c r="I110" s="10">
        <f>IF($G110="Approved",IF($H110="",IF($F110="",0,$F110),$H110),0)</f>
        <v/>
      </c>
      <c r="J110" s="9" t="n"/>
      <c r="K110" s="9" t="n"/>
      <c r="L110" s="9" t="n"/>
    </row>
    <row r="111">
      <c r="A111" s="15" t="n"/>
      <c r="B111" s="9" t="n"/>
      <c r="C111" s="9" t="n"/>
      <c r="D111" s="17" t="n"/>
      <c r="E111" s="17" t="n"/>
      <c r="F111" s="10">
        <f>IF(OR($D111="",$E111=""),"",ROUND(MOD($E111-$D111,1)*24,2))</f>
        <v/>
      </c>
      <c r="G111" s="9" t="n"/>
      <c r="H111" s="10" t="n"/>
      <c r="I111" s="10">
        <f>IF($G111="Approved",IF($H111="",IF($F111="",0,$F111),$H111),0)</f>
        <v/>
      </c>
      <c r="J111" s="9" t="n"/>
      <c r="K111" s="9" t="n"/>
      <c r="L111" s="9" t="n"/>
    </row>
    <row r="112">
      <c r="A112" s="15" t="n"/>
      <c r="B112" s="9" t="n"/>
      <c r="C112" s="9" t="n"/>
      <c r="D112" s="17" t="n"/>
      <c r="E112" s="17" t="n"/>
      <c r="F112" s="10">
        <f>IF(OR($D112="",$E112=""),"",ROUND(MOD($E112-$D112,1)*24,2))</f>
        <v/>
      </c>
      <c r="G112" s="9" t="n"/>
      <c r="H112" s="10" t="n"/>
      <c r="I112" s="10">
        <f>IF($G112="Approved",IF($H112="",IF($F112="",0,$F112),$H112),0)</f>
        <v/>
      </c>
      <c r="J112" s="9" t="n"/>
      <c r="K112" s="9" t="n"/>
      <c r="L112" s="9" t="n"/>
    </row>
    <row r="113">
      <c r="A113" s="15" t="n"/>
      <c r="B113" s="9" t="n"/>
      <c r="C113" s="9" t="n"/>
      <c r="D113" s="17" t="n"/>
      <c r="E113" s="17" t="n"/>
      <c r="F113" s="10">
        <f>IF(OR($D113="",$E113=""),"",ROUND(MOD($E113-$D113,1)*24,2))</f>
        <v/>
      </c>
      <c r="G113" s="9" t="n"/>
      <c r="H113" s="10" t="n"/>
      <c r="I113" s="10">
        <f>IF($G113="Approved",IF($H113="",IF($F113="",0,$F113),$H113),0)</f>
        <v/>
      </c>
      <c r="J113" s="9" t="n"/>
      <c r="K113" s="9" t="n"/>
      <c r="L113" s="9" t="n"/>
    </row>
    <row r="114">
      <c r="A114" s="15" t="n"/>
      <c r="B114" s="9" t="n"/>
      <c r="C114" s="9" t="n"/>
      <c r="D114" s="17" t="n"/>
      <c r="E114" s="17" t="n"/>
      <c r="F114" s="10">
        <f>IF(OR($D114="",$E114=""),"",ROUND(MOD($E114-$D114,1)*24,2))</f>
        <v/>
      </c>
      <c r="G114" s="9" t="n"/>
      <c r="H114" s="10" t="n"/>
      <c r="I114" s="10">
        <f>IF($G114="Approved",IF($H114="",IF($F114="",0,$F114),$H114),0)</f>
        <v/>
      </c>
      <c r="J114" s="9" t="n"/>
      <c r="K114" s="9" t="n"/>
      <c r="L114" s="9" t="n"/>
    </row>
    <row r="115">
      <c r="A115" s="15" t="n"/>
      <c r="B115" s="9" t="n"/>
      <c r="C115" s="9" t="n"/>
      <c r="D115" s="17" t="n"/>
      <c r="E115" s="17" t="n"/>
      <c r="F115" s="10">
        <f>IF(OR($D115="",$E115=""),"",ROUND(MOD($E115-$D115,1)*24,2))</f>
        <v/>
      </c>
      <c r="G115" s="9" t="n"/>
      <c r="H115" s="10" t="n"/>
      <c r="I115" s="10">
        <f>IF($G115="Approved",IF($H115="",IF($F115="",0,$F115),$H115),0)</f>
        <v/>
      </c>
      <c r="J115" s="9" t="n"/>
      <c r="K115" s="9" t="n"/>
      <c r="L115" s="9" t="n"/>
    </row>
    <row r="116">
      <c r="A116" s="15" t="n"/>
      <c r="B116" s="9" t="n"/>
      <c r="C116" s="9" t="n"/>
      <c r="D116" s="17" t="n"/>
      <c r="E116" s="17" t="n"/>
      <c r="F116" s="10">
        <f>IF(OR($D116="",$E116=""),"",ROUND(MOD($E116-$D116,1)*24,2))</f>
        <v/>
      </c>
      <c r="G116" s="9" t="n"/>
      <c r="H116" s="10" t="n"/>
      <c r="I116" s="10">
        <f>IF($G116="Approved",IF($H116="",IF($F116="",0,$F116),$H116),0)</f>
        <v/>
      </c>
      <c r="J116" s="9" t="n"/>
      <c r="K116" s="9" t="n"/>
      <c r="L116" s="9" t="n"/>
    </row>
    <row r="117">
      <c r="A117" s="15" t="n"/>
      <c r="B117" s="9" t="n"/>
      <c r="C117" s="9" t="n"/>
      <c r="D117" s="17" t="n"/>
      <c r="E117" s="17" t="n"/>
      <c r="F117" s="10">
        <f>IF(OR($D117="",$E117=""),"",ROUND(MOD($E117-$D117,1)*24,2))</f>
        <v/>
      </c>
      <c r="G117" s="9" t="n"/>
      <c r="H117" s="10" t="n"/>
      <c r="I117" s="10">
        <f>IF($G117="Approved",IF($H117="",IF($F117="",0,$F117),$H117),0)</f>
        <v/>
      </c>
      <c r="J117" s="9" t="n"/>
      <c r="K117" s="9" t="n"/>
      <c r="L117" s="9" t="n"/>
    </row>
    <row r="118">
      <c r="A118" s="15" t="n"/>
      <c r="B118" s="9" t="n"/>
      <c r="C118" s="9" t="n"/>
      <c r="D118" s="17" t="n"/>
      <c r="E118" s="17" t="n"/>
      <c r="F118" s="10">
        <f>IF(OR($D118="",$E118=""),"",ROUND(MOD($E118-$D118,1)*24,2))</f>
        <v/>
      </c>
      <c r="G118" s="9" t="n"/>
      <c r="H118" s="10" t="n"/>
      <c r="I118" s="10">
        <f>IF($G118="Approved",IF($H118="",IF($F118="",0,$F118),$H118),0)</f>
        <v/>
      </c>
      <c r="J118" s="9" t="n"/>
      <c r="K118" s="9" t="n"/>
      <c r="L118" s="9" t="n"/>
    </row>
    <row r="119">
      <c r="A119" s="15" t="n"/>
      <c r="B119" s="9" t="n"/>
      <c r="C119" s="9" t="n"/>
      <c r="D119" s="17" t="n"/>
      <c r="E119" s="17" t="n"/>
      <c r="F119" s="10">
        <f>IF(OR($D119="",$E119=""),"",ROUND(MOD($E119-$D119,1)*24,2))</f>
        <v/>
      </c>
      <c r="G119" s="9" t="n"/>
      <c r="H119" s="10" t="n"/>
      <c r="I119" s="10">
        <f>IF($G119="Approved",IF($H119="",IF($F119="",0,$F119),$H119),0)</f>
        <v/>
      </c>
      <c r="J119" s="9" t="n"/>
      <c r="K119" s="9" t="n"/>
      <c r="L119" s="9" t="n"/>
    </row>
    <row r="120">
      <c r="A120" s="15" t="n"/>
      <c r="B120" s="9" t="n"/>
      <c r="C120" s="9" t="n"/>
      <c r="D120" s="17" t="n"/>
      <c r="E120" s="17" t="n"/>
      <c r="F120" s="10">
        <f>IF(OR($D120="",$E120=""),"",ROUND(MOD($E120-$D120,1)*24,2))</f>
        <v/>
      </c>
      <c r="G120" s="9" t="n"/>
      <c r="H120" s="10" t="n"/>
      <c r="I120" s="10">
        <f>IF($G120="Approved",IF($H120="",IF($F120="",0,$F120),$H120),0)</f>
        <v/>
      </c>
      <c r="J120" s="9" t="n"/>
      <c r="K120" s="9" t="n"/>
      <c r="L120" s="9" t="n"/>
    </row>
    <row r="121">
      <c r="A121" s="15" t="n"/>
      <c r="B121" s="9" t="n"/>
      <c r="C121" s="9" t="n"/>
      <c r="D121" s="17" t="n"/>
      <c r="E121" s="17" t="n"/>
      <c r="F121" s="10">
        <f>IF(OR($D121="",$E121=""),"",ROUND(MOD($E121-$D121,1)*24,2))</f>
        <v/>
      </c>
      <c r="G121" s="9" t="n"/>
      <c r="H121" s="10" t="n"/>
      <c r="I121" s="10">
        <f>IF($G121="Approved",IF($H121="",IF($F121="",0,$F121),$H121),0)</f>
        <v/>
      </c>
      <c r="J121" s="9" t="n"/>
      <c r="K121" s="9" t="n"/>
      <c r="L121" s="9" t="n"/>
    </row>
    <row r="122">
      <c r="A122" s="15" t="n"/>
      <c r="B122" s="9" t="n"/>
      <c r="C122" s="9" t="n"/>
      <c r="D122" s="17" t="n"/>
      <c r="E122" s="17" t="n"/>
      <c r="F122" s="10">
        <f>IF(OR($D122="",$E122=""),"",ROUND(MOD($E122-$D122,1)*24,2))</f>
        <v/>
      </c>
      <c r="G122" s="9" t="n"/>
      <c r="H122" s="10" t="n"/>
      <c r="I122" s="10">
        <f>IF($G122="Approved",IF($H122="",IF($F122="",0,$F122),$H122),0)</f>
        <v/>
      </c>
      <c r="J122" s="9" t="n"/>
      <c r="K122" s="9" t="n"/>
      <c r="L122" s="9" t="n"/>
    </row>
    <row r="123">
      <c r="A123" s="15" t="n"/>
      <c r="B123" s="9" t="n"/>
      <c r="C123" s="9" t="n"/>
      <c r="D123" s="17" t="n"/>
      <c r="E123" s="17" t="n"/>
      <c r="F123" s="10">
        <f>IF(OR($D123="",$E123=""),"",ROUND(MOD($E123-$D123,1)*24,2))</f>
        <v/>
      </c>
      <c r="G123" s="9" t="n"/>
      <c r="H123" s="10" t="n"/>
      <c r="I123" s="10">
        <f>IF($G123="Approved",IF($H123="",IF($F123="",0,$F123),$H123),0)</f>
        <v/>
      </c>
      <c r="J123" s="9" t="n"/>
      <c r="K123" s="9" t="n"/>
      <c r="L123" s="9" t="n"/>
    </row>
    <row r="124">
      <c r="A124" s="15" t="n"/>
      <c r="B124" s="9" t="n"/>
      <c r="C124" s="9" t="n"/>
      <c r="D124" s="17" t="n"/>
      <c r="E124" s="17" t="n"/>
      <c r="F124" s="10">
        <f>IF(OR($D124="",$E124=""),"",ROUND(MOD($E124-$D124,1)*24,2))</f>
        <v/>
      </c>
      <c r="G124" s="9" t="n"/>
      <c r="H124" s="10" t="n"/>
      <c r="I124" s="10">
        <f>IF($G124="Approved",IF($H124="",IF($F124="",0,$F124),$H124),0)</f>
        <v/>
      </c>
      <c r="J124" s="9" t="n"/>
      <c r="K124" s="9" t="n"/>
      <c r="L124" s="9" t="n"/>
    </row>
    <row r="125">
      <c r="A125" s="15" t="n"/>
      <c r="B125" s="9" t="n"/>
      <c r="C125" s="9" t="n"/>
      <c r="D125" s="17" t="n"/>
      <c r="E125" s="17" t="n"/>
      <c r="F125" s="10">
        <f>IF(OR($D125="",$E125=""),"",ROUND(MOD($E125-$D125,1)*24,2))</f>
        <v/>
      </c>
      <c r="G125" s="9" t="n"/>
      <c r="H125" s="10" t="n"/>
      <c r="I125" s="10">
        <f>IF($G125="Approved",IF($H125="",IF($F125="",0,$F125),$H125),0)</f>
        <v/>
      </c>
      <c r="J125" s="9" t="n"/>
      <c r="K125" s="9" t="n"/>
      <c r="L125" s="9" t="n"/>
    </row>
    <row r="126">
      <c r="A126" s="15" t="n"/>
      <c r="B126" s="9" t="n"/>
      <c r="C126" s="9" t="n"/>
      <c r="D126" s="17" t="n"/>
      <c r="E126" s="17" t="n"/>
      <c r="F126" s="10">
        <f>IF(OR($D126="",$E126=""),"",ROUND(MOD($E126-$D126,1)*24,2))</f>
        <v/>
      </c>
      <c r="G126" s="9" t="n"/>
      <c r="H126" s="10" t="n"/>
      <c r="I126" s="10">
        <f>IF($G126="Approved",IF($H126="",IF($F126="",0,$F126),$H126),0)</f>
        <v/>
      </c>
      <c r="J126" s="9" t="n"/>
      <c r="K126" s="9" t="n"/>
      <c r="L126" s="9" t="n"/>
    </row>
    <row r="127">
      <c r="A127" s="15" t="n"/>
      <c r="B127" s="9" t="n"/>
      <c r="C127" s="9" t="n"/>
      <c r="D127" s="17" t="n"/>
      <c r="E127" s="17" t="n"/>
      <c r="F127" s="10">
        <f>IF(OR($D127="",$E127=""),"",ROUND(MOD($E127-$D127,1)*24,2))</f>
        <v/>
      </c>
      <c r="G127" s="9" t="n"/>
      <c r="H127" s="10" t="n"/>
      <c r="I127" s="10">
        <f>IF($G127="Approved",IF($H127="",IF($F127="",0,$F127),$H127),0)</f>
        <v/>
      </c>
      <c r="J127" s="9" t="n"/>
      <c r="K127" s="9" t="n"/>
      <c r="L127" s="9" t="n"/>
    </row>
    <row r="128">
      <c r="A128" s="15" t="n"/>
      <c r="B128" s="9" t="n"/>
      <c r="C128" s="9" t="n"/>
      <c r="D128" s="17" t="n"/>
      <c r="E128" s="17" t="n"/>
      <c r="F128" s="10">
        <f>IF(OR($D128="",$E128=""),"",ROUND(MOD($E128-$D128,1)*24,2))</f>
        <v/>
      </c>
      <c r="G128" s="9" t="n"/>
      <c r="H128" s="10" t="n"/>
      <c r="I128" s="10">
        <f>IF($G128="Approved",IF($H128="",IF($F128="",0,$F128),$H128),0)</f>
        <v/>
      </c>
      <c r="J128" s="9" t="n"/>
      <c r="K128" s="9" t="n"/>
      <c r="L128" s="9" t="n"/>
    </row>
    <row r="129">
      <c r="A129" s="15" t="n"/>
      <c r="B129" s="9" t="n"/>
      <c r="C129" s="9" t="n"/>
      <c r="D129" s="17" t="n"/>
      <c r="E129" s="17" t="n"/>
      <c r="F129" s="10">
        <f>IF(OR($D129="",$E129=""),"",ROUND(MOD($E129-$D129,1)*24,2))</f>
        <v/>
      </c>
      <c r="G129" s="9" t="n"/>
      <c r="H129" s="10" t="n"/>
      <c r="I129" s="10">
        <f>IF($G129="Approved",IF($H129="",IF($F129="",0,$F129),$H129),0)</f>
        <v/>
      </c>
      <c r="J129" s="9" t="n"/>
      <c r="K129" s="9" t="n"/>
      <c r="L129" s="9" t="n"/>
    </row>
    <row r="130">
      <c r="A130" s="15" t="n"/>
      <c r="B130" s="9" t="n"/>
      <c r="C130" s="9" t="n"/>
      <c r="D130" s="17" t="n"/>
      <c r="E130" s="17" t="n"/>
      <c r="F130" s="10">
        <f>IF(OR($D130="",$E130=""),"",ROUND(MOD($E130-$D130,1)*24,2))</f>
        <v/>
      </c>
      <c r="G130" s="9" t="n"/>
      <c r="H130" s="10" t="n"/>
      <c r="I130" s="10">
        <f>IF($G130="Approved",IF($H130="",IF($F130="",0,$F130),$H130),0)</f>
        <v/>
      </c>
      <c r="J130" s="9" t="n"/>
      <c r="K130" s="9" t="n"/>
      <c r="L130" s="9" t="n"/>
    </row>
    <row r="131">
      <c r="A131" s="15" t="n"/>
      <c r="B131" s="9" t="n"/>
      <c r="C131" s="9" t="n"/>
      <c r="D131" s="17" t="n"/>
      <c r="E131" s="17" t="n"/>
      <c r="F131" s="10">
        <f>IF(OR($D131="",$E131=""),"",ROUND(MOD($E131-$D131,1)*24,2))</f>
        <v/>
      </c>
      <c r="G131" s="9" t="n"/>
      <c r="H131" s="10" t="n"/>
      <c r="I131" s="10">
        <f>IF($G131="Approved",IF($H131="",IF($F131="",0,$F131),$H131),0)</f>
        <v/>
      </c>
      <c r="J131" s="9" t="n"/>
      <c r="K131" s="9" t="n"/>
      <c r="L131" s="9" t="n"/>
    </row>
    <row r="132">
      <c r="A132" s="15" t="n"/>
      <c r="B132" s="9" t="n"/>
      <c r="C132" s="9" t="n"/>
      <c r="D132" s="17" t="n"/>
      <c r="E132" s="17" t="n"/>
      <c r="F132" s="10">
        <f>IF(OR($D132="",$E132=""),"",ROUND(MOD($E132-$D132,1)*24,2))</f>
        <v/>
      </c>
      <c r="G132" s="9" t="n"/>
      <c r="H132" s="10" t="n"/>
      <c r="I132" s="10">
        <f>IF($G132="Approved",IF($H132="",IF($F132="",0,$F132),$H132),0)</f>
        <v/>
      </c>
      <c r="J132" s="9" t="n"/>
      <c r="K132" s="9" t="n"/>
      <c r="L132" s="9" t="n"/>
    </row>
    <row r="133">
      <c r="A133" s="15" t="n"/>
      <c r="B133" s="9" t="n"/>
      <c r="C133" s="9" t="n"/>
      <c r="D133" s="17" t="n"/>
      <c r="E133" s="17" t="n"/>
      <c r="F133" s="10">
        <f>IF(OR($D133="",$E133=""),"",ROUND(MOD($E133-$D133,1)*24,2))</f>
        <v/>
      </c>
      <c r="G133" s="9" t="n"/>
      <c r="H133" s="10" t="n"/>
      <c r="I133" s="10">
        <f>IF($G133="Approved",IF($H133="",IF($F133="",0,$F133),$H133),0)</f>
        <v/>
      </c>
      <c r="J133" s="9" t="n"/>
      <c r="K133" s="9" t="n"/>
      <c r="L133" s="9" t="n"/>
    </row>
    <row r="134">
      <c r="A134" s="15" t="n"/>
      <c r="B134" s="9" t="n"/>
      <c r="C134" s="9" t="n"/>
      <c r="D134" s="17" t="n"/>
      <c r="E134" s="17" t="n"/>
      <c r="F134" s="10">
        <f>IF(OR($D134="",$E134=""),"",ROUND(MOD($E134-$D134,1)*24,2))</f>
        <v/>
      </c>
      <c r="G134" s="9" t="n"/>
      <c r="H134" s="10" t="n"/>
      <c r="I134" s="10">
        <f>IF($G134="Approved",IF($H134="",IF($F134="",0,$F134),$H134),0)</f>
        <v/>
      </c>
      <c r="J134" s="9" t="n"/>
      <c r="K134" s="9" t="n"/>
      <c r="L134" s="9" t="n"/>
    </row>
    <row r="135">
      <c r="A135" s="15" t="n"/>
      <c r="B135" s="9" t="n"/>
      <c r="C135" s="9" t="n"/>
      <c r="D135" s="17" t="n"/>
      <c r="E135" s="17" t="n"/>
      <c r="F135" s="10">
        <f>IF(OR($D135="",$E135=""),"",ROUND(MOD($E135-$D135,1)*24,2))</f>
        <v/>
      </c>
      <c r="G135" s="9" t="n"/>
      <c r="H135" s="10" t="n"/>
      <c r="I135" s="10">
        <f>IF($G135="Approved",IF($H135="",IF($F135="",0,$F135),$H135),0)</f>
        <v/>
      </c>
      <c r="J135" s="9" t="n"/>
      <c r="K135" s="9" t="n"/>
      <c r="L135" s="9" t="n"/>
    </row>
    <row r="136">
      <c r="A136" s="15" t="n"/>
      <c r="B136" s="9" t="n"/>
      <c r="C136" s="9" t="n"/>
      <c r="D136" s="17" t="n"/>
      <c r="E136" s="17" t="n"/>
      <c r="F136" s="10">
        <f>IF(OR($D136="",$E136=""),"",ROUND(MOD($E136-$D136,1)*24,2))</f>
        <v/>
      </c>
      <c r="G136" s="9" t="n"/>
      <c r="H136" s="10" t="n"/>
      <c r="I136" s="10">
        <f>IF($G136="Approved",IF($H136="",IF($F136="",0,$F136),$H136),0)</f>
        <v/>
      </c>
      <c r="J136" s="9" t="n"/>
      <c r="K136" s="9" t="n"/>
      <c r="L136" s="9" t="n"/>
    </row>
    <row r="137">
      <c r="A137" s="15" t="n"/>
      <c r="B137" s="9" t="n"/>
      <c r="C137" s="9" t="n"/>
      <c r="D137" s="17" t="n"/>
      <c r="E137" s="17" t="n"/>
      <c r="F137" s="10">
        <f>IF(OR($D137="",$E137=""),"",ROUND(MOD($E137-$D137,1)*24,2))</f>
        <v/>
      </c>
      <c r="G137" s="9" t="n"/>
      <c r="H137" s="10" t="n"/>
      <c r="I137" s="10">
        <f>IF($G137="Approved",IF($H137="",IF($F137="",0,$F137),$H137),0)</f>
        <v/>
      </c>
      <c r="J137" s="9" t="n"/>
      <c r="K137" s="9" t="n"/>
      <c r="L137" s="9" t="n"/>
    </row>
    <row r="138">
      <c r="A138" s="15" t="n"/>
      <c r="B138" s="9" t="n"/>
      <c r="C138" s="9" t="n"/>
      <c r="D138" s="17" t="n"/>
      <c r="E138" s="17" t="n"/>
      <c r="F138" s="10">
        <f>IF(OR($D138="",$E138=""),"",ROUND(MOD($E138-$D138,1)*24,2))</f>
        <v/>
      </c>
      <c r="G138" s="9" t="n"/>
      <c r="H138" s="10" t="n"/>
      <c r="I138" s="10">
        <f>IF($G138="Approved",IF($H138="",IF($F138="",0,$F138),$H138),0)</f>
        <v/>
      </c>
      <c r="J138" s="9" t="n"/>
      <c r="K138" s="9" t="n"/>
      <c r="L138" s="9" t="n"/>
    </row>
    <row r="139">
      <c r="A139" s="15" t="n"/>
      <c r="B139" s="9" t="n"/>
      <c r="C139" s="9" t="n"/>
      <c r="D139" s="17" t="n"/>
      <c r="E139" s="17" t="n"/>
      <c r="F139" s="10">
        <f>IF(OR($D139="",$E139=""),"",ROUND(MOD($E139-$D139,1)*24,2))</f>
        <v/>
      </c>
      <c r="G139" s="9" t="n"/>
      <c r="H139" s="10" t="n"/>
      <c r="I139" s="10">
        <f>IF($G139="Approved",IF($H139="",IF($F139="",0,$F139),$H139),0)</f>
        <v/>
      </c>
      <c r="J139" s="9" t="n"/>
      <c r="K139" s="9" t="n"/>
      <c r="L139" s="9" t="n"/>
    </row>
    <row r="140">
      <c r="A140" s="15" t="n"/>
      <c r="B140" s="9" t="n"/>
      <c r="C140" s="9" t="n"/>
      <c r="D140" s="17" t="n"/>
      <c r="E140" s="17" t="n"/>
      <c r="F140" s="10">
        <f>IF(OR($D140="",$E140=""),"",ROUND(MOD($E140-$D140,1)*24,2))</f>
        <v/>
      </c>
      <c r="G140" s="9" t="n"/>
      <c r="H140" s="10" t="n"/>
      <c r="I140" s="10">
        <f>IF($G140="Approved",IF($H140="",IF($F140="",0,$F140),$H140),0)</f>
        <v/>
      </c>
      <c r="J140" s="9" t="n"/>
      <c r="K140" s="9" t="n"/>
      <c r="L140" s="9" t="n"/>
    </row>
    <row r="141">
      <c r="A141" s="15" t="n"/>
      <c r="B141" s="9" t="n"/>
      <c r="C141" s="9" t="n"/>
      <c r="D141" s="17" t="n"/>
      <c r="E141" s="17" t="n"/>
      <c r="F141" s="10">
        <f>IF(OR($D141="",$E141=""),"",ROUND(MOD($E141-$D141,1)*24,2))</f>
        <v/>
      </c>
      <c r="G141" s="9" t="n"/>
      <c r="H141" s="10" t="n"/>
      <c r="I141" s="10">
        <f>IF($G141="Approved",IF($H141="",IF($F141="",0,$F141),$H141),0)</f>
        <v/>
      </c>
      <c r="J141" s="9" t="n"/>
      <c r="K141" s="9" t="n"/>
      <c r="L141" s="9" t="n"/>
    </row>
    <row r="142">
      <c r="A142" s="15" t="n"/>
      <c r="B142" s="9" t="n"/>
      <c r="C142" s="9" t="n"/>
      <c r="D142" s="17" t="n"/>
      <c r="E142" s="17" t="n"/>
      <c r="F142" s="10">
        <f>IF(OR($D142="",$E142=""),"",ROUND(MOD($E142-$D142,1)*24,2))</f>
        <v/>
      </c>
      <c r="G142" s="9" t="n"/>
      <c r="H142" s="10" t="n"/>
      <c r="I142" s="10">
        <f>IF($G142="Approved",IF($H142="",IF($F142="",0,$F142),$H142),0)</f>
        <v/>
      </c>
      <c r="J142" s="9" t="n"/>
      <c r="K142" s="9" t="n"/>
      <c r="L142" s="9" t="n"/>
    </row>
    <row r="143">
      <c r="A143" s="15" t="n"/>
      <c r="B143" s="9" t="n"/>
      <c r="C143" s="9" t="n"/>
      <c r="D143" s="17" t="n"/>
      <c r="E143" s="17" t="n"/>
      <c r="F143" s="10">
        <f>IF(OR($D143="",$E143=""),"",ROUND(MOD($E143-$D143,1)*24,2))</f>
        <v/>
      </c>
      <c r="G143" s="9" t="n"/>
      <c r="H143" s="10" t="n"/>
      <c r="I143" s="10">
        <f>IF($G143="Approved",IF($H143="",IF($F143="",0,$F143),$H143),0)</f>
        <v/>
      </c>
      <c r="J143" s="9" t="n"/>
      <c r="K143" s="9" t="n"/>
      <c r="L143" s="9" t="n"/>
    </row>
    <row r="144">
      <c r="A144" s="15" t="n"/>
      <c r="B144" s="9" t="n"/>
      <c r="C144" s="9" t="n"/>
      <c r="D144" s="17" t="n"/>
      <c r="E144" s="17" t="n"/>
      <c r="F144" s="10">
        <f>IF(OR($D144="",$E144=""),"",ROUND(MOD($E144-$D144,1)*24,2))</f>
        <v/>
      </c>
      <c r="G144" s="9" t="n"/>
      <c r="H144" s="10" t="n"/>
      <c r="I144" s="10">
        <f>IF($G144="Approved",IF($H144="",IF($F144="",0,$F144),$H144),0)</f>
        <v/>
      </c>
      <c r="J144" s="9" t="n"/>
      <c r="K144" s="9" t="n"/>
      <c r="L144" s="9" t="n"/>
    </row>
    <row r="145">
      <c r="A145" s="15" t="n"/>
      <c r="B145" s="9" t="n"/>
      <c r="C145" s="9" t="n"/>
      <c r="D145" s="17" t="n"/>
      <c r="E145" s="17" t="n"/>
      <c r="F145" s="10">
        <f>IF(OR($D145="",$E145=""),"",ROUND(MOD($E145-$D145,1)*24,2))</f>
        <v/>
      </c>
      <c r="G145" s="9" t="n"/>
      <c r="H145" s="10" t="n"/>
      <c r="I145" s="10">
        <f>IF($G145="Approved",IF($H145="",IF($F145="",0,$F145),$H145),0)</f>
        <v/>
      </c>
      <c r="J145" s="9" t="n"/>
      <c r="K145" s="9" t="n"/>
      <c r="L145" s="9" t="n"/>
    </row>
    <row r="146">
      <c r="A146" s="15" t="n"/>
      <c r="B146" s="9" t="n"/>
      <c r="C146" s="9" t="n"/>
      <c r="D146" s="17" t="n"/>
      <c r="E146" s="17" t="n"/>
      <c r="F146" s="10">
        <f>IF(OR($D146="",$E146=""),"",ROUND(MOD($E146-$D146,1)*24,2))</f>
        <v/>
      </c>
      <c r="G146" s="9" t="n"/>
      <c r="H146" s="10" t="n"/>
      <c r="I146" s="10">
        <f>IF($G146="Approved",IF($H146="",IF($F146="",0,$F146),$H146),0)</f>
        <v/>
      </c>
      <c r="J146" s="9" t="n"/>
      <c r="K146" s="9" t="n"/>
      <c r="L146" s="9" t="n"/>
    </row>
    <row r="147">
      <c r="A147" s="15" t="n"/>
      <c r="B147" s="9" t="n"/>
      <c r="C147" s="9" t="n"/>
      <c r="D147" s="17" t="n"/>
      <c r="E147" s="17" t="n"/>
      <c r="F147" s="10">
        <f>IF(OR($D147="",$E147=""),"",ROUND(MOD($E147-$D147,1)*24,2))</f>
        <v/>
      </c>
      <c r="G147" s="9" t="n"/>
      <c r="H147" s="10" t="n"/>
      <c r="I147" s="10">
        <f>IF($G147="Approved",IF($H147="",IF($F147="",0,$F147),$H147),0)</f>
        <v/>
      </c>
      <c r="J147" s="9" t="n"/>
      <c r="K147" s="9" t="n"/>
      <c r="L147" s="9" t="n"/>
    </row>
    <row r="148">
      <c r="A148" s="15" t="n"/>
      <c r="B148" s="9" t="n"/>
      <c r="C148" s="9" t="n"/>
      <c r="D148" s="17" t="n"/>
      <c r="E148" s="17" t="n"/>
      <c r="F148" s="10">
        <f>IF(OR($D148="",$E148=""),"",ROUND(MOD($E148-$D148,1)*24,2))</f>
        <v/>
      </c>
      <c r="G148" s="9" t="n"/>
      <c r="H148" s="10" t="n"/>
      <c r="I148" s="10">
        <f>IF($G148="Approved",IF($H148="",IF($F148="",0,$F148),$H148),0)</f>
        <v/>
      </c>
      <c r="J148" s="9" t="n"/>
      <c r="K148" s="9" t="n"/>
      <c r="L148" s="9" t="n"/>
    </row>
    <row r="149">
      <c r="A149" s="15" t="n"/>
      <c r="B149" s="9" t="n"/>
      <c r="C149" s="9" t="n"/>
      <c r="D149" s="17" t="n"/>
      <c r="E149" s="17" t="n"/>
      <c r="F149" s="10">
        <f>IF(OR($D149="",$E149=""),"",ROUND(MOD($E149-$D149,1)*24,2))</f>
        <v/>
      </c>
      <c r="G149" s="9" t="n"/>
      <c r="H149" s="10" t="n"/>
      <c r="I149" s="10">
        <f>IF($G149="Approved",IF($H149="",IF($F149="",0,$F149),$H149),0)</f>
        <v/>
      </c>
      <c r="J149" s="9" t="n"/>
      <c r="K149" s="9" t="n"/>
      <c r="L149" s="9" t="n"/>
    </row>
    <row r="150">
      <c r="A150" s="15" t="n"/>
      <c r="B150" s="9" t="n"/>
      <c r="C150" s="9" t="n"/>
      <c r="D150" s="17" t="n"/>
      <c r="E150" s="17" t="n"/>
      <c r="F150" s="10">
        <f>IF(OR($D150="",$E150=""),"",ROUND(MOD($E150-$D150,1)*24,2))</f>
        <v/>
      </c>
      <c r="G150" s="9" t="n"/>
      <c r="H150" s="10" t="n"/>
      <c r="I150" s="10">
        <f>IF($G150="Approved",IF($H150="",IF($F150="",0,$F150),$H150),0)</f>
        <v/>
      </c>
      <c r="J150" s="9" t="n"/>
      <c r="K150" s="9" t="n"/>
      <c r="L150" s="9" t="n"/>
    </row>
    <row r="151">
      <c r="A151" s="15" t="n"/>
      <c r="B151" s="9" t="n"/>
      <c r="C151" s="9" t="n"/>
      <c r="D151" s="17" t="n"/>
      <c r="E151" s="17" t="n"/>
      <c r="F151" s="10">
        <f>IF(OR($D151="",$E151=""),"",ROUND(MOD($E151-$D151,1)*24,2))</f>
        <v/>
      </c>
      <c r="G151" s="9" t="n"/>
      <c r="H151" s="10" t="n"/>
      <c r="I151" s="10">
        <f>IF($G151="Approved",IF($H151="",IF($F151="",0,$F151),$H151),0)</f>
        <v/>
      </c>
      <c r="J151" s="9" t="n"/>
      <c r="K151" s="9" t="n"/>
      <c r="L151" s="9" t="n"/>
    </row>
    <row r="152">
      <c r="A152" s="15" t="n"/>
      <c r="B152" s="9" t="n"/>
      <c r="C152" s="9" t="n"/>
      <c r="D152" s="17" t="n"/>
      <c r="E152" s="17" t="n"/>
      <c r="F152" s="10">
        <f>IF(OR($D152="",$E152=""),"",ROUND(MOD($E152-$D152,1)*24,2))</f>
        <v/>
      </c>
      <c r="G152" s="9" t="n"/>
      <c r="H152" s="10" t="n"/>
      <c r="I152" s="10">
        <f>IF($G152="Approved",IF($H152="",IF($F152="",0,$F152),$H152),0)</f>
        <v/>
      </c>
      <c r="J152" s="9" t="n"/>
      <c r="K152" s="9" t="n"/>
      <c r="L152" s="9" t="n"/>
    </row>
    <row r="153">
      <c r="A153" s="15" t="n"/>
      <c r="B153" s="9" t="n"/>
      <c r="C153" s="9" t="n"/>
      <c r="D153" s="17" t="n"/>
      <c r="E153" s="17" t="n"/>
      <c r="F153" s="10">
        <f>IF(OR($D153="",$E153=""),"",ROUND(MOD($E153-$D153,1)*24,2))</f>
        <v/>
      </c>
      <c r="G153" s="9" t="n"/>
      <c r="H153" s="10" t="n"/>
      <c r="I153" s="10">
        <f>IF($G153="Approved",IF($H153="",IF($F153="",0,$F153),$H153),0)</f>
        <v/>
      </c>
      <c r="J153" s="9" t="n"/>
      <c r="K153" s="9" t="n"/>
      <c r="L153" s="9" t="n"/>
    </row>
    <row r="154">
      <c r="A154" s="15" t="n"/>
      <c r="B154" s="9" t="n"/>
      <c r="C154" s="9" t="n"/>
      <c r="D154" s="17" t="n"/>
      <c r="E154" s="17" t="n"/>
      <c r="F154" s="10">
        <f>IF(OR($D154="",$E154=""),"",ROUND(MOD($E154-$D154,1)*24,2))</f>
        <v/>
      </c>
      <c r="G154" s="9" t="n"/>
      <c r="H154" s="10" t="n"/>
      <c r="I154" s="10">
        <f>IF($G154="Approved",IF($H154="",IF($F154="",0,$F154),$H154),0)</f>
        <v/>
      </c>
      <c r="J154" s="9" t="n"/>
      <c r="K154" s="9" t="n"/>
      <c r="L154" s="9" t="n"/>
    </row>
    <row r="155">
      <c r="A155" s="15" t="n"/>
      <c r="B155" s="9" t="n"/>
      <c r="C155" s="9" t="n"/>
      <c r="D155" s="17" t="n"/>
      <c r="E155" s="17" t="n"/>
      <c r="F155" s="10">
        <f>IF(OR($D155="",$E155=""),"",ROUND(MOD($E155-$D155,1)*24,2))</f>
        <v/>
      </c>
      <c r="G155" s="9" t="n"/>
      <c r="H155" s="10" t="n"/>
      <c r="I155" s="10">
        <f>IF($G155="Approved",IF($H155="",IF($F155="",0,$F155),$H155),0)</f>
        <v/>
      </c>
      <c r="J155" s="9" t="n"/>
      <c r="K155" s="9" t="n"/>
      <c r="L155" s="9" t="n"/>
    </row>
    <row r="156">
      <c r="A156" s="15" t="n"/>
      <c r="B156" s="9" t="n"/>
      <c r="C156" s="9" t="n"/>
      <c r="D156" s="17" t="n"/>
      <c r="E156" s="17" t="n"/>
      <c r="F156" s="10">
        <f>IF(OR($D156="",$E156=""),"",ROUND(MOD($E156-$D156,1)*24,2))</f>
        <v/>
      </c>
      <c r="G156" s="9" t="n"/>
      <c r="H156" s="10" t="n"/>
      <c r="I156" s="10">
        <f>IF($G156="Approved",IF($H156="",IF($F156="",0,$F156),$H156),0)</f>
        <v/>
      </c>
      <c r="J156" s="9" t="n"/>
      <c r="K156" s="9" t="n"/>
      <c r="L156" s="9" t="n"/>
    </row>
    <row r="157">
      <c r="A157" s="15" t="n"/>
      <c r="B157" s="9" t="n"/>
      <c r="C157" s="9" t="n"/>
      <c r="D157" s="17" t="n"/>
      <c r="E157" s="17" t="n"/>
      <c r="F157" s="10">
        <f>IF(OR($D157="",$E157=""),"",ROUND(MOD($E157-$D157,1)*24,2))</f>
        <v/>
      </c>
      <c r="G157" s="9" t="n"/>
      <c r="H157" s="10" t="n"/>
      <c r="I157" s="10">
        <f>IF($G157="Approved",IF($H157="",IF($F157="",0,$F157),$H157),0)</f>
        <v/>
      </c>
      <c r="J157" s="9" t="n"/>
      <c r="K157" s="9" t="n"/>
      <c r="L157" s="9" t="n"/>
    </row>
    <row r="158">
      <c r="A158" s="15" t="n"/>
      <c r="B158" s="9" t="n"/>
      <c r="C158" s="9" t="n"/>
      <c r="D158" s="17" t="n"/>
      <c r="E158" s="17" t="n"/>
      <c r="F158" s="10">
        <f>IF(OR($D158="",$E158=""),"",ROUND(MOD($E158-$D158,1)*24,2))</f>
        <v/>
      </c>
      <c r="G158" s="9" t="n"/>
      <c r="H158" s="10" t="n"/>
      <c r="I158" s="10">
        <f>IF($G158="Approved",IF($H158="",IF($F158="",0,$F158),$H158),0)</f>
        <v/>
      </c>
      <c r="J158" s="9" t="n"/>
      <c r="K158" s="9" t="n"/>
      <c r="L158" s="9" t="n"/>
    </row>
    <row r="159">
      <c r="A159" s="15" t="n"/>
      <c r="B159" s="9" t="n"/>
      <c r="C159" s="9" t="n"/>
      <c r="D159" s="17" t="n"/>
      <c r="E159" s="17" t="n"/>
      <c r="F159" s="10">
        <f>IF(OR($D159="",$E159=""),"",ROUND(MOD($E159-$D159,1)*24,2))</f>
        <v/>
      </c>
      <c r="G159" s="9" t="n"/>
      <c r="H159" s="10" t="n"/>
      <c r="I159" s="10">
        <f>IF($G159="Approved",IF($H159="",IF($F159="",0,$F159),$H159),0)</f>
        <v/>
      </c>
      <c r="J159" s="9" t="n"/>
      <c r="K159" s="9" t="n"/>
      <c r="L159" s="9" t="n"/>
    </row>
    <row r="160">
      <c r="A160" s="15" t="n"/>
      <c r="B160" s="9" t="n"/>
      <c r="C160" s="9" t="n"/>
      <c r="D160" s="17" t="n"/>
      <c r="E160" s="17" t="n"/>
      <c r="F160" s="10">
        <f>IF(OR($D160="",$E160=""),"",ROUND(MOD($E160-$D160,1)*24,2))</f>
        <v/>
      </c>
      <c r="G160" s="9" t="n"/>
      <c r="H160" s="10" t="n"/>
      <c r="I160" s="10">
        <f>IF($G160="Approved",IF($H160="",IF($F160="",0,$F160),$H160),0)</f>
        <v/>
      </c>
      <c r="J160" s="9" t="n"/>
      <c r="K160" s="9" t="n"/>
      <c r="L160" s="9" t="n"/>
    </row>
    <row r="161">
      <c r="A161" s="15" t="n"/>
      <c r="B161" s="9" t="n"/>
      <c r="C161" s="9" t="n"/>
      <c r="D161" s="17" t="n"/>
      <c r="E161" s="17" t="n"/>
      <c r="F161" s="10">
        <f>IF(OR($D161="",$E161=""),"",ROUND(MOD($E161-$D161,1)*24,2))</f>
        <v/>
      </c>
      <c r="G161" s="9" t="n"/>
      <c r="H161" s="10" t="n"/>
      <c r="I161" s="10">
        <f>IF($G161="Approved",IF($H161="",IF($F161="",0,$F161),$H161),0)</f>
        <v/>
      </c>
      <c r="J161" s="9" t="n"/>
      <c r="K161" s="9" t="n"/>
      <c r="L161" s="9" t="n"/>
    </row>
    <row r="162">
      <c r="A162" s="15" t="n"/>
      <c r="B162" s="9" t="n"/>
      <c r="C162" s="9" t="n"/>
      <c r="D162" s="17" t="n"/>
      <c r="E162" s="17" t="n"/>
      <c r="F162" s="10">
        <f>IF(OR($D162="",$E162=""),"",ROUND(MOD($E162-$D162,1)*24,2))</f>
        <v/>
      </c>
      <c r="G162" s="9" t="n"/>
      <c r="H162" s="10" t="n"/>
      <c r="I162" s="10">
        <f>IF($G162="Approved",IF($H162="",IF($F162="",0,$F162),$H162),0)</f>
        <v/>
      </c>
      <c r="J162" s="9" t="n"/>
      <c r="K162" s="9" t="n"/>
      <c r="L162" s="9" t="n"/>
    </row>
    <row r="163">
      <c r="A163" s="15" t="n"/>
      <c r="B163" s="9" t="n"/>
      <c r="C163" s="9" t="n"/>
      <c r="D163" s="17" t="n"/>
      <c r="E163" s="17" t="n"/>
      <c r="F163" s="10">
        <f>IF(OR($D163="",$E163=""),"",ROUND(MOD($E163-$D163,1)*24,2))</f>
        <v/>
      </c>
      <c r="G163" s="9" t="n"/>
      <c r="H163" s="10" t="n"/>
      <c r="I163" s="10">
        <f>IF($G163="Approved",IF($H163="",IF($F163="",0,$F163),$H163),0)</f>
        <v/>
      </c>
      <c r="J163" s="9" t="n"/>
      <c r="K163" s="9" t="n"/>
      <c r="L163" s="9" t="n"/>
    </row>
    <row r="164">
      <c r="A164" s="15" t="n"/>
      <c r="B164" s="9" t="n"/>
      <c r="C164" s="9" t="n"/>
      <c r="D164" s="17" t="n"/>
      <c r="E164" s="17" t="n"/>
      <c r="F164" s="10">
        <f>IF(OR($D164="",$E164=""),"",ROUND(MOD($E164-$D164,1)*24,2))</f>
        <v/>
      </c>
      <c r="G164" s="9" t="n"/>
      <c r="H164" s="10" t="n"/>
      <c r="I164" s="10">
        <f>IF($G164="Approved",IF($H164="",IF($F164="",0,$F164),$H164),0)</f>
        <v/>
      </c>
      <c r="J164" s="9" t="n"/>
      <c r="K164" s="9" t="n"/>
      <c r="L164" s="9" t="n"/>
    </row>
    <row r="165">
      <c r="A165" s="15" t="n"/>
      <c r="B165" s="9" t="n"/>
      <c r="C165" s="9" t="n"/>
      <c r="D165" s="17" t="n"/>
      <c r="E165" s="17" t="n"/>
      <c r="F165" s="10">
        <f>IF(OR($D165="",$E165=""),"",ROUND(MOD($E165-$D165,1)*24,2))</f>
        <v/>
      </c>
      <c r="G165" s="9" t="n"/>
      <c r="H165" s="10" t="n"/>
      <c r="I165" s="10">
        <f>IF($G165="Approved",IF($H165="",IF($F165="",0,$F165),$H165),0)</f>
        <v/>
      </c>
      <c r="J165" s="9" t="n"/>
      <c r="K165" s="9" t="n"/>
      <c r="L165" s="9" t="n"/>
    </row>
    <row r="166">
      <c r="A166" s="15" t="n"/>
      <c r="B166" s="9" t="n"/>
      <c r="C166" s="9" t="n"/>
      <c r="D166" s="17" t="n"/>
      <c r="E166" s="17" t="n"/>
      <c r="F166" s="10">
        <f>IF(OR($D166="",$E166=""),"",ROUND(MOD($E166-$D166,1)*24,2))</f>
        <v/>
      </c>
      <c r="G166" s="9" t="n"/>
      <c r="H166" s="10" t="n"/>
      <c r="I166" s="10">
        <f>IF($G166="Approved",IF($H166="",IF($F166="",0,$F166),$H166),0)</f>
        <v/>
      </c>
      <c r="J166" s="9" t="n"/>
      <c r="K166" s="9" t="n"/>
      <c r="L166" s="9" t="n"/>
    </row>
    <row r="167">
      <c r="A167" s="15" t="n"/>
      <c r="B167" s="9" t="n"/>
      <c r="C167" s="9" t="n"/>
      <c r="D167" s="17" t="n"/>
      <c r="E167" s="17" t="n"/>
      <c r="F167" s="10">
        <f>IF(OR($D167="",$E167=""),"",ROUND(MOD($E167-$D167,1)*24,2))</f>
        <v/>
      </c>
      <c r="G167" s="9" t="n"/>
      <c r="H167" s="10" t="n"/>
      <c r="I167" s="10">
        <f>IF($G167="Approved",IF($H167="",IF($F167="",0,$F167),$H167),0)</f>
        <v/>
      </c>
      <c r="J167" s="9" t="n"/>
      <c r="K167" s="9" t="n"/>
      <c r="L167" s="9" t="n"/>
    </row>
    <row r="168">
      <c r="A168" s="15" t="n"/>
      <c r="B168" s="9" t="n"/>
      <c r="C168" s="9" t="n"/>
      <c r="D168" s="17" t="n"/>
      <c r="E168" s="17" t="n"/>
      <c r="F168" s="10">
        <f>IF(OR($D168="",$E168=""),"",ROUND(MOD($E168-$D168,1)*24,2))</f>
        <v/>
      </c>
      <c r="G168" s="9" t="n"/>
      <c r="H168" s="10" t="n"/>
      <c r="I168" s="10">
        <f>IF($G168="Approved",IF($H168="",IF($F168="",0,$F168),$H168),0)</f>
        <v/>
      </c>
      <c r="J168" s="9" t="n"/>
      <c r="K168" s="9" t="n"/>
      <c r="L168" s="9" t="n"/>
    </row>
    <row r="169">
      <c r="A169" s="15" t="n"/>
      <c r="B169" s="9" t="n"/>
      <c r="C169" s="9" t="n"/>
      <c r="D169" s="17" t="n"/>
      <c r="E169" s="17" t="n"/>
      <c r="F169" s="10">
        <f>IF(OR($D169="",$E169=""),"",ROUND(MOD($E169-$D169,1)*24,2))</f>
        <v/>
      </c>
      <c r="G169" s="9" t="n"/>
      <c r="H169" s="10" t="n"/>
      <c r="I169" s="10">
        <f>IF($G169="Approved",IF($H169="",IF($F169="",0,$F169),$H169),0)</f>
        <v/>
      </c>
      <c r="J169" s="9" t="n"/>
      <c r="K169" s="9" t="n"/>
      <c r="L169" s="9" t="n"/>
    </row>
    <row r="170">
      <c r="A170" s="15" t="n"/>
      <c r="B170" s="9" t="n"/>
      <c r="C170" s="9" t="n"/>
      <c r="D170" s="17" t="n"/>
      <c r="E170" s="17" t="n"/>
      <c r="F170" s="10">
        <f>IF(OR($D170="",$E170=""),"",ROUND(MOD($E170-$D170,1)*24,2))</f>
        <v/>
      </c>
      <c r="G170" s="9" t="n"/>
      <c r="H170" s="10" t="n"/>
      <c r="I170" s="10">
        <f>IF($G170="Approved",IF($H170="",IF($F170="",0,$F170),$H170),0)</f>
        <v/>
      </c>
      <c r="J170" s="9" t="n"/>
      <c r="K170" s="9" t="n"/>
      <c r="L170" s="9" t="n"/>
    </row>
    <row r="171">
      <c r="A171" s="15" t="n"/>
      <c r="B171" s="9" t="n"/>
      <c r="C171" s="9" t="n"/>
      <c r="D171" s="17" t="n"/>
      <c r="E171" s="17" t="n"/>
      <c r="F171" s="10">
        <f>IF(OR($D171="",$E171=""),"",ROUND(MOD($E171-$D171,1)*24,2))</f>
        <v/>
      </c>
      <c r="G171" s="9" t="n"/>
      <c r="H171" s="10" t="n"/>
      <c r="I171" s="10">
        <f>IF($G171="Approved",IF($H171="",IF($F171="",0,$F171),$H171),0)</f>
        <v/>
      </c>
      <c r="J171" s="9" t="n"/>
      <c r="K171" s="9" t="n"/>
      <c r="L171" s="9" t="n"/>
    </row>
    <row r="172">
      <c r="A172" s="15" t="n"/>
      <c r="B172" s="9" t="n"/>
      <c r="C172" s="9" t="n"/>
      <c r="D172" s="17" t="n"/>
      <c r="E172" s="17" t="n"/>
      <c r="F172" s="10">
        <f>IF(OR($D172="",$E172=""),"",ROUND(MOD($E172-$D172,1)*24,2))</f>
        <v/>
      </c>
      <c r="G172" s="9" t="n"/>
      <c r="H172" s="10" t="n"/>
      <c r="I172" s="10">
        <f>IF($G172="Approved",IF($H172="",IF($F172="",0,$F172),$H172),0)</f>
        <v/>
      </c>
      <c r="J172" s="9" t="n"/>
      <c r="K172" s="9" t="n"/>
      <c r="L172" s="9" t="n"/>
    </row>
    <row r="173">
      <c r="A173" s="15" t="n"/>
      <c r="B173" s="9" t="n"/>
      <c r="C173" s="9" t="n"/>
      <c r="D173" s="17" t="n"/>
      <c r="E173" s="17" t="n"/>
      <c r="F173" s="10">
        <f>IF(OR($D173="",$E173=""),"",ROUND(MOD($E173-$D173,1)*24,2))</f>
        <v/>
      </c>
      <c r="G173" s="9" t="n"/>
      <c r="H173" s="10" t="n"/>
      <c r="I173" s="10">
        <f>IF($G173="Approved",IF($H173="",IF($F173="",0,$F173),$H173),0)</f>
        <v/>
      </c>
      <c r="J173" s="9" t="n"/>
      <c r="K173" s="9" t="n"/>
      <c r="L173" s="9" t="n"/>
    </row>
    <row r="174">
      <c r="A174" s="15" t="n"/>
      <c r="B174" s="9" t="n"/>
      <c r="C174" s="9" t="n"/>
      <c r="D174" s="17" t="n"/>
      <c r="E174" s="17" t="n"/>
      <c r="F174" s="10">
        <f>IF(OR($D174="",$E174=""),"",ROUND(MOD($E174-$D174,1)*24,2))</f>
        <v/>
      </c>
      <c r="G174" s="9" t="n"/>
      <c r="H174" s="10" t="n"/>
      <c r="I174" s="10">
        <f>IF($G174="Approved",IF($H174="",IF($F174="",0,$F174),$H174),0)</f>
        <v/>
      </c>
      <c r="J174" s="9" t="n"/>
      <c r="K174" s="9" t="n"/>
      <c r="L174" s="9" t="n"/>
    </row>
    <row r="175">
      <c r="A175" s="15" t="n"/>
      <c r="B175" s="9" t="n"/>
      <c r="C175" s="9" t="n"/>
      <c r="D175" s="17" t="n"/>
      <c r="E175" s="17" t="n"/>
      <c r="F175" s="10">
        <f>IF(OR($D175="",$E175=""),"",ROUND(MOD($E175-$D175,1)*24,2))</f>
        <v/>
      </c>
      <c r="G175" s="9" t="n"/>
      <c r="H175" s="10" t="n"/>
      <c r="I175" s="10">
        <f>IF($G175="Approved",IF($H175="",IF($F175="",0,$F175),$H175),0)</f>
        <v/>
      </c>
      <c r="J175" s="9" t="n"/>
      <c r="K175" s="9" t="n"/>
      <c r="L175" s="9" t="n"/>
    </row>
    <row r="176">
      <c r="A176" s="15" t="n"/>
      <c r="B176" s="9" t="n"/>
      <c r="C176" s="9" t="n"/>
      <c r="D176" s="17" t="n"/>
      <c r="E176" s="17" t="n"/>
      <c r="F176" s="10">
        <f>IF(OR($D176="",$E176=""),"",ROUND(MOD($E176-$D176,1)*24,2))</f>
        <v/>
      </c>
      <c r="G176" s="9" t="n"/>
      <c r="H176" s="10" t="n"/>
      <c r="I176" s="10">
        <f>IF($G176="Approved",IF($H176="",IF($F176="",0,$F176),$H176),0)</f>
        <v/>
      </c>
      <c r="J176" s="9" t="n"/>
      <c r="K176" s="9" t="n"/>
      <c r="L176" s="9" t="n"/>
    </row>
    <row r="177">
      <c r="A177" s="15" t="n"/>
      <c r="B177" s="9" t="n"/>
      <c r="C177" s="9" t="n"/>
      <c r="D177" s="17" t="n"/>
      <c r="E177" s="17" t="n"/>
      <c r="F177" s="10">
        <f>IF(OR($D177="",$E177=""),"",ROUND(MOD($E177-$D177,1)*24,2))</f>
        <v/>
      </c>
      <c r="G177" s="9" t="n"/>
      <c r="H177" s="10" t="n"/>
      <c r="I177" s="10">
        <f>IF($G177="Approved",IF($H177="",IF($F177="",0,$F177),$H177),0)</f>
        <v/>
      </c>
      <c r="J177" s="9" t="n"/>
      <c r="K177" s="9" t="n"/>
      <c r="L177" s="9" t="n"/>
    </row>
    <row r="178">
      <c r="A178" s="15" t="n"/>
      <c r="B178" s="9" t="n"/>
      <c r="C178" s="9" t="n"/>
      <c r="D178" s="17" t="n"/>
      <c r="E178" s="17" t="n"/>
      <c r="F178" s="10">
        <f>IF(OR($D178="",$E178=""),"",ROUND(MOD($E178-$D178,1)*24,2))</f>
        <v/>
      </c>
      <c r="G178" s="9" t="n"/>
      <c r="H178" s="10" t="n"/>
      <c r="I178" s="10">
        <f>IF($G178="Approved",IF($H178="",IF($F178="",0,$F178),$H178),0)</f>
        <v/>
      </c>
      <c r="J178" s="9" t="n"/>
      <c r="K178" s="9" t="n"/>
      <c r="L178" s="9" t="n"/>
    </row>
    <row r="179">
      <c r="A179" s="15" t="n"/>
      <c r="B179" s="9" t="n"/>
      <c r="C179" s="9" t="n"/>
      <c r="D179" s="17" t="n"/>
      <c r="E179" s="17" t="n"/>
      <c r="F179" s="10">
        <f>IF(OR($D179="",$E179=""),"",ROUND(MOD($E179-$D179,1)*24,2))</f>
        <v/>
      </c>
      <c r="G179" s="9" t="n"/>
      <c r="H179" s="10" t="n"/>
      <c r="I179" s="10">
        <f>IF($G179="Approved",IF($H179="",IF($F179="",0,$F179),$H179),0)</f>
        <v/>
      </c>
      <c r="J179" s="9" t="n"/>
      <c r="K179" s="9" t="n"/>
      <c r="L179" s="9" t="n"/>
    </row>
    <row r="180">
      <c r="A180" s="15" t="n"/>
      <c r="B180" s="9" t="n"/>
      <c r="C180" s="9" t="n"/>
      <c r="D180" s="17" t="n"/>
      <c r="E180" s="17" t="n"/>
      <c r="F180" s="10">
        <f>IF(OR($D180="",$E180=""),"",ROUND(MOD($E180-$D180,1)*24,2))</f>
        <v/>
      </c>
      <c r="G180" s="9" t="n"/>
      <c r="H180" s="10" t="n"/>
      <c r="I180" s="10">
        <f>IF($G180="Approved",IF($H180="",IF($F180="",0,$F180),$H180),0)</f>
        <v/>
      </c>
      <c r="J180" s="9" t="n"/>
      <c r="K180" s="9" t="n"/>
      <c r="L180" s="9" t="n"/>
    </row>
    <row r="181">
      <c r="A181" s="15" t="n"/>
      <c r="B181" s="9" t="n"/>
      <c r="C181" s="9" t="n"/>
      <c r="D181" s="17" t="n"/>
      <c r="E181" s="17" t="n"/>
      <c r="F181" s="10">
        <f>IF(OR($D181="",$E181=""),"",ROUND(MOD($E181-$D181,1)*24,2))</f>
        <v/>
      </c>
      <c r="G181" s="9" t="n"/>
      <c r="H181" s="10" t="n"/>
      <c r="I181" s="10">
        <f>IF($G181="Approved",IF($H181="",IF($F181="",0,$F181),$H181),0)</f>
        <v/>
      </c>
      <c r="J181" s="9" t="n"/>
      <c r="K181" s="9" t="n"/>
      <c r="L181" s="9" t="n"/>
    </row>
    <row r="182">
      <c r="A182" s="15" t="n"/>
      <c r="B182" s="9" t="n"/>
      <c r="C182" s="9" t="n"/>
      <c r="D182" s="17" t="n"/>
      <c r="E182" s="17" t="n"/>
      <c r="F182" s="10">
        <f>IF(OR($D182="",$E182=""),"",ROUND(MOD($E182-$D182,1)*24,2))</f>
        <v/>
      </c>
      <c r="G182" s="9" t="n"/>
      <c r="H182" s="10" t="n"/>
      <c r="I182" s="10">
        <f>IF($G182="Approved",IF($H182="",IF($F182="",0,$F182),$H182),0)</f>
        <v/>
      </c>
      <c r="J182" s="9" t="n"/>
      <c r="K182" s="9" t="n"/>
      <c r="L182" s="9" t="n"/>
    </row>
    <row r="183">
      <c r="A183" s="15" t="n"/>
      <c r="B183" s="9" t="n"/>
      <c r="C183" s="9" t="n"/>
      <c r="D183" s="17" t="n"/>
      <c r="E183" s="17" t="n"/>
      <c r="F183" s="10">
        <f>IF(OR($D183="",$E183=""),"",ROUND(MOD($E183-$D183,1)*24,2))</f>
        <v/>
      </c>
      <c r="G183" s="9" t="n"/>
      <c r="H183" s="10" t="n"/>
      <c r="I183" s="10">
        <f>IF($G183="Approved",IF($H183="",IF($F183="",0,$F183),$H183),0)</f>
        <v/>
      </c>
      <c r="J183" s="9" t="n"/>
      <c r="K183" s="9" t="n"/>
      <c r="L183" s="9" t="n"/>
    </row>
    <row r="184">
      <c r="A184" s="15" t="n"/>
      <c r="B184" s="9" t="n"/>
      <c r="C184" s="9" t="n"/>
      <c r="D184" s="17" t="n"/>
      <c r="E184" s="17" t="n"/>
      <c r="F184" s="10">
        <f>IF(OR($D184="",$E184=""),"",ROUND(MOD($E184-$D184,1)*24,2))</f>
        <v/>
      </c>
      <c r="G184" s="9" t="n"/>
      <c r="H184" s="10" t="n"/>
      <c r="I184" s="10">
        <f>IF($G184="Approved",IF($H184="",IF($F184="",0,$F184),$H184),0)</f>
        <v/>
      </c>
      <c r="J184" s="9" t="n"/>
      <c r="K184" s="9" t="n"/>
      <c r="L184" s="9" t="n"/>
    </row>
    <row r="185">
      <c r="A185" s="15" t="n"/>
      <c r="B185" s="9" t="n"/>
      <c r="C185" s="9" t="n"/>
      <c r="D185" s="17" t="n"/>
      <c r="E185" s="17" t="n"/>
      <c r="F185" s="10">
        <f>IF(OR($D185="",$E185=""),"",ROUND(MOD($E185-$D185,1)*24,2))</f>
        <v/>
      </c>
      <c r="G185" s="9" t="n"/>
      <c r="H185" s="10" t="n"/>
      <c r="I185" s="10">
        <f>IF($G185="Approved",IF($H185="",IF($F185="",0,$F185),$H185),0)</f>
        <v/>
      </c>
      <c r="J185" s="9" t="n"/>
      <c r="K185" s="9" t="n"/>
      <c r="L185" s="9" t="n"/>
    </row>
    <row r="186">
      <c r="A186" s="15" t="n"/>
      <c r="B186" s="9" t="n"/>
      <c r="C186" s="9" t="n"/>
      <c r="D186" s="17" t="n"/>
      <c r="E186" s="17" t="n"/>
      <c r="F186" s="10">
        <f>IF(OR($D186="",$E186=""),"",ROUND(MOD($E186-$D186,1)*24,2))</f>
        <v/>
      </c>
      <c r="G186" s="9" t="n"/>
      <c r="H186" s="10" t="n"/>
      <c r="I186" s="10">
        <f>IF($G186="Approved",IF($H186="",IF($F186="",0,$F186),$H186),0)</f>
        <v/>
      </c>
      <c r="J186" s="9" t="n"/>
      <c r="K186" s="9" t="n"/>
      <c r="L186" s="9" t="n"/>
    </row>
    <row r="187">
      <c r="A187" s="15" t="n"/>
      <c r="B187" s="9" t="n"/>
      <c r="C187" s="9" t="n"/>
      <c r="D187" s="17" t="n"/>
      <c r="E187" s="17" t="n"/>
      <c r="F187" s="10">
        <f>IF(OR($D187="",$E187=""),"",ROUND(MOD($E187-$D187,1)*24,2))</f>
        <v/>
      </c>
      <c r="G187" s="9" t="n"/>
      <c r="H187" s="10" t="n"/>
      <c r="I187" s="10">
        <f>IF($G187="Approved",IF($H187="",IF($F187="",0,$F187),$H187),0)</f>
        <v/>
      </c>
      <c r="J187" s="9" t="n"/>
      <c r="K187" s="9" t="n"/>
      <c r="L187" s="9" t="n"/>
    </row>
    <row r="188">
      <c r="A188" s="15" t="n"/>
      <c r="B188" s="9" t="n"/>
      <c r="C188" s="9" t="n"/>
      <c r="D188" s="17" t="n"/>
      <c r="E188" s="17" t="n"/>
      <c r="F188" s="10">
        <f>IF(OR($D188="",$E188=""),"",ROUND(MOD($E188-$D188,1)*24,2))</f>
        <v/>
      </c>
      <c r="G188" s="9" t="n"/>
      <c r="H188" s="10" t="n"/>
      <c r="I188" s="10">
        <f>IF($G188="Approved",IF($H188="",IF($F188="",0,$F188),$H188),0)</f>
        <v/>
      </c>
      <c r="J188" s="9" t="n"/>
      <c r="K188" s="9" t="n"/>
      <c r="L188" s="9" t="n"/>
    </row>
    <row r="189">
      <c r="A189" s="15" t="n"/>
      <c r="B189" s="9" t="n"/>
      <c r="C189" s="9" t="n"/>
      <c r="D189" s="17" t="n"/>
      <c r="E189" s="17" t="n"/>
      <c r="F189" s="10">
        <f>IF(OR($D189="",$E189=""),"",ROUND(MOD($E189-$D189,1)*24,2))</f>
        <v/>
      </c>
      <c r="G189" s="9" t="n"/>
      <c r="H189" s="10" t="n"/>
      <c r="I189" s="10">
        <f>IF($G189="Approved",IF($H189="",IF($F189="",0,$F189),$H189),0)</f>
        <v/>
      </c>
      <c r="J189" s="9" t="n"/>
      <c r="K189" s="9" t="n"/>
      <c r="L189" s="9" t="n"/>
    </row>
    <row r="190">
      <c r="A190" s="15" t="n"/>
      <c r="B190" s="9" t="n"/>
      <c r="C190" s="9" t="n"/>
      <c r="D190" s="17" t="n"/>
      <c r="E190" s="17" t="n"/>
      <c r="F190" s="10">
        <f>IF(OR($D190="",$E190=""),"",ROUND(MOD($E190-$D190,1)*24,2))</f>
        <v/>
      </c>
      <c r="G190" s="9" t="n"/>
      <c r="H190" s="10" t="n"/>
      <c r="I190" s="10">
        <f>IF($G190="Approved",IF($H190="",IF($F190="",0,$F190),$H190),0)</f>
        <v/>
      </c>
      <c r="J190" s="9" t="n"/>
      <c r="K190" s="9" t="n"/>
      <c r="L190" s="9" t="n"/>
    </row>
    <row r="191">
      <c r="A191" s="15" t="n"/>
      <c r="B191" s="9" t="n"/>
      <c r="C191" s="9" t="n"/>
      <c r="D191" s="17" t="n"/>
      <c r="E191" s="17" t="n"/>
      <c r="F191" s="10">
        <f>IF(OR($D191="",$E191=""),"",ROUND(MOD($E191-$D191,1)*24,2))</f>
        <v/>
      </c>
      <c r="G191" s="9" t="n"/>
      <c r="H191" s="10" t="n"/>
      <c r="I191" s="10">
        <f>IF($G191="Approved",IF($H191="",IF($F191="",0,$F191),$H191),0)</f>
        <v/>
      </c>
      <c r="J191" s="9" t="n"/>
      <c r="K191" s="9" t="n"/>
      <c r="L191" s="9" t="n"/>
    </row>
    <row r="192">
      <c r="A192" s="15" t="n"/>
      <c r="B192" s="9" t="n"/>
      <c r="C192" s="9" t="n"/>
      <c r="D192" s="17" t="n"/>
      <c r="E192" s="17" t="n"/>
      <c r="F192" s="10">
        <f>IF(OR($D192="",$E192=""),"",ROUND(MOD($E192-$D192,1)*24,2))</f>
        <v/>
      </c>
      <c r="G192" s="9" t="n"/>
      <c r="H192" s="10" t="n"/>
      <c r="I192" s="10">
        <f>IF($G192="Approved",IF($H192="",IF($F192="",0,$F192),$H192),0)</f>
        <v/>
      </c>
      <c r="J192" s="9" t="n"/>
      <c r="K192" s="9" t="n"/>
      <c r="L192" s="9" t="n"/>
    </row>
    <row r="193">
      <c r="A193" s="15" t="n"/>
      <c r="B193" s="9" t="n"/>
      <c r="C193" s="9" t="n"/>
      <c r="D193" s="17" t="n"/>
      <c r="E193" s="17" t="n"/>
      <c r="F193" s="10">
        <f>IF(OR($D193="",$E193=""),"",ROUND(MOD($E193-$D193,1)*24,2))</f>
        <v/>
      </c>
      <c r="G193" s="9" t="n"/>
      <c r="H193" s="10" t="n"/>
      <c r="I193" s="10">
        <f>IF($G193="Approved",IF($H193="",IF($F193="",0,$F193),$H193),0)</f>
        <v/>
      </c>
      <c r="J193" s="9" t="n"/>
      <c r="K193" s="9" t="n"/>
      <c r="L193" s="9" t="n"/>
    </row>
    <row r="194">
      <c r="A194" s="15" t="n"/>
      <c r="B194" s="9" t="n"/>
      <c r="C194" s="9" t="n"/>
      <c r="D194" s="17" t="n"/>
      <c r="E194" s="17" t="n"/>
      <c r="F194" s="10">
        <f>IF(OR($D194="",$E194=""),"",ROUND(MOD($E194-$D194,1)*24,2))</f>
        <v/>
      </c>
      <c r="G194" s="9" t="n"/>
      <c r="H194" s="10" t="n"/>
      <c r="I194" s="10">
        <f>IF($G194="Approved",IF($H194="",IF($F194="",0,$F194),$H194),0)</f>
        <v/>
      </c>
      <c r="J194" s="9" t="n"/>
      <c r="K194" s="9" t="n"/>
      <c r="L194" s="9" t="n"/>
    </row>
    <row r="195">
      <c r="A195" s="15" t="n"/>
      <c r="B195" s="9" t="n"/>
      <c r="C195" s="9" t="n"/>
      <c r="D195" s="17" t="n"/>
      <c r="E195" s="17" t="n"/>
      <c r="F195" s="10">
        <f>IF(OR($D195="",$E195=""),"",ROUND(MOD($E195-$D195,1)*24,2))</f>
        <v/>
      </c>
      <c r="G195" s="9" t="n"/>
      <c r="H195" s="10" t="n"/>
      <c r="I195" s="10">
        <f>IF($G195="Approved",IF($H195="",IF($F195="",0,$F195),$H195),0)</f>
        <v/>
      </c>
      <c r="J195" s="9" t="n"/>
      <c r="K195" s="9" t="n"/>
      <c r="L195" s="9" t="n"/>
    </row>
    <row r="196">
      <c r="A196" s="15" t="n"/>
      <c r="B196" s="9" t="n"/>
      <c r="C196" s="9" t="n"/>
      <c r="D196" s="17" t="n"/>
      <c r="E196" s="17" t="n"/>
      <c r="F196" s="10">
        <f>IF(OR($D196="",$E196=""),"",ROUND(MOD($E196-$D196,1)*24,2))</f>
        <v/>
      </c>
      <c r="G196" s="9" t="n"/>
      <c r="H196" s="10" t="n"/>
      <c r="I196" s="10">
        <f>IF($G196="Approved",IF($H196="",IF($F196="",0,$F196),$H196),0)</f>
        <v/>
      </c>
      <c r="J196" s="9" t="n"/>
      <c r="K196" s="9" t="n"/>
      <c r="L196" s="9" t="n"/>
    </row>
    <row r="197">
      <c r="A197" s="15" t="n"/>
      <c r="B197" s="9" t="n"/>
      <c r="C197" s="9" t="n"/>
      <c r="D197" s="17" t="n"/>
      <c r="E197" s="17" t="n"/>
      <c r="F197" s="10">
        <f>IF(OR($D197="",$E197=""),"",ROUND(MOD($E197-$D197,1)*24,2))</f>
        <v/>
      </c>
      <c r="G197" s="9" t="n"/>
      <c r="H197" s="10" t="n"/>
      <c r="I197" s="10">
        <f>IF($G197="Approved",IF($H197="",IF($F197="",0,$F197),$H197),0)</f>
        <v/>
      </c>
      <c r="J197" s="9" t="n"/>
      <c r="K197" s="9" t="n"/>
      <c r="L197" s="9" t="n"/>
    </row>
    <row r="198">
      <c r="A198" s="15" t="n"/>
      <c r="B198" s="9" t="n"/>
      <c r="C198" s="9" t="n"/>
      <c r="D198" s="17" t="n"/>
      <c r="E198" s="17" t="n"/>
      <c r="F198" s="10">
        <f>IF(OR($D198="",$E198=""),"",ROUND(MOD($E198-$D198,1)*24,2))</f>
        <v/>
      </c>
      <c r="G198" s="9" t="n"/>
      <c r="H198" s="10" t="n"/>
      <c r="I198" s="10">
        <f>IF($G198="Approved",IF($H198="",IF($F198="",0,$F198),$H198),0)</f>
        <v/>
      </c>
      <c r="J198" s="9" t="n"/>
      <c r="K198" s="9" t="n"/>
      <c r="L198" s="9" t="n"/>
    </row>
    <row r="199">
      <c r="A199" s="15" t="n"/>
      <c r="B199" s="9" t="n"/>
      <c r="C199" s="9" t="n"/>
      <c r="D199" s="17" t="n"/>
      <c r="E199" s="17" t="n"/>
      <c r="F199" s="10">
        <f>IF(OR($D199="",$E199=""),"",ROUND(MOD($E199-$D199,1)*24,2))</f>
        <v/>
      </c>
      <c r="G199" s="9" t="n"/>
      <c r="H199" s="10" t="n"/>
      <c r="I199" s="10">
        <f>IF($G199="Approved",IF($H199="",IF($F199="",0,$F199),$H199),0)</f>
        <v/>
      </c>
      <c r="J199" s="9" t="n"/>
      <c r="K199" s="9" t="n"/>
      <c r="L199" s="9" t="n"/>
    </row>
    <row r="200">
      <c r="A200" s="15" t="n"/>
      <c r="B200" s="9" t="n"/>
      <c r="C200" s="9" t="n"/>
      <c r="D200" s="17" t="n"/>
      <c r="E200" s="17" t="n"/>
      <c r="F200" s="10">
        <f>IF(OR($D200="",$E200=""),"",ROUND(MOD($E200-$D200,1)*24,2))</f>
        <v/>
      </c>
      <c r="G200" s="9" t="n"/>
      <c r="H200" s="10" t="n"/>
      <c r="I200" s="10">
        <f>IF($G200="Approved",IF($H200="",IF($F200="",0,$F200),$H200),0)</f>
        <v/>
      </c>
      <c r="J200" s="9" t="n"/>
      <c r="K200" s="9" t="n"/>
      <c r="L200" s="9" t="n"/>
    </row>
    <row r="201">
      <c r="A201" s="15" t="n"/>
      <c r="B201" s="9" t="n"/>
      <c r="C201" s="9" t="n"/>
      <c r="D201" s="17" t="n"/>
      <c r="E201" s="17" t="n"/>
      <c r="F201" s="10">
        <f>IF(OR($D201="",$E201=""),"",ROUND(MOD($E201-$D201,1)*24,2))</f>
        <v/>
      </c>
      <c r="G201" s="9" t="n"/>
      <c r="H201" s="10" t="n"/>
      <c r="I201" s="10">
        <f>IF($G201="Approved",IF($H201="",IF($F201="",0,$F201),$H201),0)</f>
        <v/>
      </c>
      <c r="J201" s="9" t="n"/>
      <c r="K201" s="9" t="n"/>
      <c r="L201" s="9" t="n"/>
    </row>
    <row r="202">
      <c r="A202" s="15" t="n"/>
      <c r="B202" s="9" t="n"/>
      <c r="C202" s="9" t="n"/>
      <c r="D202" s="17" t="n"/>
      <c r="E202" s="17" t="n"/>
      <c r="F202" s="10">
        <f>IF(OR($D202="",$E202=""),"",ROUND(MOD($E202-$D202,1)*24,2))</f>
        <v/>
      </c>
      <c r="G202" s="9" t="n"/>
      <c r="H202" s="10" t="n"/>
      <c r="I202" s="10">
        <f>IF($G202="Approved",IF($H202="",IF($F202="",0,$F202),$H202),0)</f>
        <v/>
      </c>
      <c r="J202" s="9" t="n"/>
      <c r="K202" s="9" t="n"/>
      <c r="L202" s="9" t="n"/>
    </row>
    <row r="203">
      <c r="A203" s="15" t="n"/>
      <c r="B203" s="9" t="n"/>
      <c r="C203" s="9" t="n"/>
      <c r="D203" s="17" t="n"/>
      <c r="E203" s="17" t="n"/>
      <c r="F203" s="10">
        <f>IF(OR($D203="",$E203=""),"",ROUND(MOD($E203-$D203,1)*24,2))</f>
        <v/>
      </c>
      <c r="G203" s="9" t="n"/>
      <c r="H203" s="10" t="n"/>
      <c r="I203" s="10">
        <f>IF($G203="Approved",IF($H203="",IF($F203="",0,$F203),$H203),0)</f>
        <v/>
      </c>
      <c r="J203" s="9" t="n"/>
      <c r="K203" s="9" t="n"/>
      <c r="L203" s="9" t="n"/>
    </row>
    <row r="204">
      <c r="A204" s="15" t="n"/>
      <c r="B204" s="9" t="n"/>
      <c r="C204" s="9" t="n"/>
      <c r="D204" s="17" t="n"/>
      <c r="E204" s="17" t="n"/>
      <c r="F204" s="10">
        <f>IF(OR($D204="",$E204=""),"",ROUND(MOD($E204-$D204,1)*24,2))</f>
        <v/>
      </c>
      <c r="G204" s="9" t="n"/>
      <c r="H204" s="10" t="n"/>
      <c r="I204" s="10">
        <f>IF($G204="Approved",IF($H204="",IF($F204="",0,$F204),$H204),0)</f>
        <v/>
      </c>
      <c r="J204" s="9" t="n"/>
      <c r="K204" s="9" t="n"/>
      <c r="L204" s="9" t="n"/>
    </row>
    <row r="205">
      <c r="A205" s="15" t="n"/>
      <c r="B205" s="9" t="n"/>
      <c r="C205" s="9" t="n"/>
      <c r="D205" s="17" t="n"/>
      <c r="E205" s="17" t="n"/>
      <c r="F205" s="10">
        <f>IF(OR($D205="",$E205=""),"",ROUND(MOD($E205-$D205,1)*24,2))</f>
        <v/>
      </c>
      <c r="G205" s="9" t="n"/>
      <c r="H205" s="10" t="n"/>
      <c r="I205" s="10">
        <f>IF($G205="Approved",IF($H205="",IF($F205="",0,$F205),$H205),0)</f>
        <v/>
      </c>
      <c r="J205" s="9" t="n"/>
      <c r="K205" s="9" t="n"/>
      <c r="L205" s="9" t="n"/>
    </row>
    <row r="206">
      <c r="A206" s="15" t="n"/>
      <c r="B206" s="9" t="n"/>
      <c r="C206" s="9" t="n"/>
      <c r="D206" s="17" t="n"/>
      <c r="E206" s="17" t="n"/>
      <c r="F206" s="10">
        <f>IF(OR($D206="",$E206=""),"",ROUND(MOD($E206-$D206,1)*24,2))</f>
        <v/>
      </c>
      <c r="G206" s="9" t="n"/>
      <c r="H206" s="10" t="n"/>
      <c r="I206" s="10">
        <f>IF($G206="Approved",IF($H206="",IF($F206="",0,$F206),$H206),0)</f>
        <v/>
      </c>
      <c r="J206" s="9" t="n"/>
      <c r="K206" s="9" t="n"/>
      <c r="L206" s="9" t="n"/>
    </row>
    <row r="207">
      <c r="A207" s="15" t="n"/>
      <c r="B207" s="9" t="n"/>
      <c r="C207" s="9" t="n"/>
      <c r="D207" s="17" t="n"/>
      <c r="E207" s="17" t="n"/>
      <c r="F207" s="10">
        <f>IF(OR($D207="",$E207=""),"",ROUND(MOD($E207-$D207,1)*24,2))</f>
        <v/>
      </c>
      <c r="G207" s="9" t="n"/>
      <c r="H207" s="10" t="n"/>
      <c r="I207" s="10">
        <f>IF($G207="Approved",IF($H207="",IF($F207="",0,$F207),$H207),0)</f>
        <v/>
      </c>
      <c r="J207" s="9" t="n"/>
      <c r="K207" s="9" t="n"/>
      <c r="L207" s="9" t="n"/>
    </row>
    <row r="208">
      <c r="A208" s="15" t="n"/>
      <c r="B208" s="9" t="n"/>
      <c r="C208" s="9" t="n"/>
      <c r="D208" s="17" t="n"/>
      <c r="E208" s="17" t="n"/>
      <c r="F208" s="10">
        <f>IF(OR($D208="",$E208=""),"",ROUND(MOD($E208-$D208,1)*24,2))</f>
        <v/>
      </c>
      <c r="G208" s="9" t="n"/>
      <c r="H208" s="10" t="n"/>
      <c r="I208" s="10">
        <f>IF($G208="Approved",IF($H208="",IF($F208="",0,$F208),$H208),0)</f>
        <v/>
      </c>
      <c r="J208" s="9" t="n"/>
      <c r="K208" s="9" t="n"/>
      <c r="L208" s="9" t="n"/>
    </row>
    <row r="209">
      <c r="A209" s="15" t="n"/>
      <c r="B209" s="9" t="n"/>
      <c r="C209" s="9" t="n"/>
      <c r="D209" s="17" t="n"/>
      <c r="E209" s="17" t="n"/>
      <c r="F209" s="10">
        <f>IF(OR($D209="",$E209=""),"",ROUND(MOD($E209-$D209,1)*24,2))</f>
        <v/>
      </c>
      <c r="G209" s="9" t="n"/>
      <c r="H209" s="10" t="n"/>
      <c r="I209" s="10">
        <f>IF($G209="Approved",IF($H209="",IF($F209="",0,$F209),$H209),0)</f>
        <v/>
      </c>
      <c r="J209" s="9" t="n"/>
      <c r="K209" s="9" t="n"/>
      <c r="L209" s="9" t="n"/>
    </row>
    <row r="210">
      <c r="A210" s="15" t="n"/>
      <c r="B210" s="9" t="n"/>
      <c r="C210" s="9" t="n"/>
      <c r="D210" s="17" t="n"/>
      <c r="E210" s="17" t="n"/>
      <c r="F210" s="10">
        <f>IF(OR($D210="",$E210=""),"",ROUND(MOD($E210-$D210,1)*24,2))</f>
        <v/>
      </c>
      <c r="G210" s="9" t="n"/>
      <c r="H210" s="10" t="n"/>
      <c r="I210" s="10">
        <f>IF($G210="Approved",IF($H210="",IF($F210="",0,$F210),$H210),0)</f>
        <v/>
      </c>
      <c r="J210" s="9" t="n"/>
      <c r="K210" s="9" t="n"/>
      <c r="L210" s="9" t="n"/>
    </row>
    <row r="211">
      <c r="A211" s="15" t="n"/>
      <c r="B211" s="9" t="n"/>
      <c r="C211" s="9" t="n"/>
      <c r="D211" s="17" t="n"/>
      <c r="E211" s="17" t="n"/>
      <c r="F211" s="10">
        <f>IF(OR($D211="",$E211=""),"",ROUND(MOD($E211-$D211,1)*24,2))</f>
        <v/>
      </c>
      <c r="G211" s="9" t="n"/>
      <c r="H211" s="10" t="n"/>
      <c r="I211" s="10">
        <f>IF($G211="Approved",IF($H211="",IF($F211="",0,$F211),$H211),0)</f>
        <v/>
      </c>
      <c r="J211" s="9" t="n"/>
      <c r="K211" s="9" t="n"/>
      <c r="L211" s="9" t="n"/>
    </row>
    <row r="212">
      <c r="A212" s="15" t="n"/>
      <c r="B212" s="9" t="n"/>
      <c r="C212" s="9" t="n"/>
      <c r="D212" s="17" t="n"/>
      <c r="E212" s="17" t="n"/>
      <c r="F212" s="10">
        <f>IF(OR($D212="",$E212=""),"",ROUND(MOD($E212-$D212,1)*24,2))</f>
        <v/>
      </c>
      <c r="G212" s="9" t="n"/>
      <c r="H212" s="10" t="n"/>
      <c r="I212" s="10">
        <f>IF($G212="Approved",IF($H212="",IF($F212="",0,$F212),$H212),0)</f>
        <v/>
      </c>
      <c r="J212" s="9" t="n"/>
      <c r="K212" s="9" t="n"/>
      <c r="L212" s="9" t="n"/>
    </row>
    <row r="213">
      <c r="A213" s="15" t="n"/>
      <c r="B213" s="9" t="n"/>
      <c r="C213" s="9" t="n"/>
      <c r="D213" s="17" t="n"/>
      <c r="E213" s="17" t="n"/>
      <c r="F213" s="10">
        <f>IF(OR($D213="",$E213=""),"",ROUND(MOD($E213-$D213,1)*24,2))</f>
        <v/>
      </c>
      <c r="G213" s="9" t="n"/>
      <c r="H213" s="10" t="n"/>
      <c r="I213" s="10">
        <f>IF($G213="Approved",IF($H213="",IF($F213="",0,$F213),$H213),0)</f>
        <v/>
      </c>
      <c r="J213" s="9" t="n"/>
      <c r="K213" s="9" t="n"/>
      <c r="L213" s="9" t="n"/>
    </row>
    <row r="214">
      <c r="A214" s="15" t="n"/>
      <c r="B214" s="9" t="n"/>
      <c r="C214" s="9" t="n"/>
      <c r="D214" s="17" t="n"/>
      <c r="E214" s="17" t="n"/>
      <c r="F214" s="10">
        <f>IF(OR($D214="",$E214=""),"",ROUND(MOD($E214-$D214,1)*24,2))</f>
        <v/>
      </c>
      <c r="G214" s="9" t="n"/>
      <c r="H214" s="10" t="n"/>
      <c r="I214" s="10">
        <f>IF($G214="Approved",IF($H214="",IF($F214="",0,$F214),$H214),0)</f>
        <v/>
      </c>
      <c r="J214" s="9" t="n"/>
      <c r="K214" s="9" t="n"/>
      <c r="L214" s="9" t="n"/>
    </row>
    <row r="215">
      <c r="A215" s="15" t="n"/>
      <c r="B215" s="9" t="n"/>
      <c r="C215" s="9" t="n"/>
      <c r="D215" s="17" t="n"/>
      <c r="E215" s="17" t="n"/>
      <c r="F215" s="10">
        <f>IF(OR($D215="",$E215=""),"",ROUND(MOD($E215-$D215,1)*24,2))</f>
        <v/>
      </c>
      <c r="G215" s="9" t="n"/>
      <c r="H215" s="10" t="n"/>
      <c r="I215" s="10">
        <f>IF($G215="Approved",IF($H215="",IF($F215="",0,$F215),$H215),0)</f>
        <v/>
      </c>
      <c r="J215" s="9" t="n"/>
      <c r="K215" s="9" t="n"/>
      <c r="L215" s="9" t="n"/>
    </row>
    <row r="216">
      <c r="A216" s="15" t="n"/>
      <c r="B216" s="9" t="n"/>
      <c r="C216" s="9" t="n"/>
      <c r="D216" s="17" t="n"/>
      <c r="E216" s="17" t="n"/>
      <c r="F216" s="10">
        <f>IF(OR($D216="",$E216=""),"",ROUND(MOD($E216-$D216,1)*24,2))</f>
        <v/>
      </c>
      <c r="G216" s="9" t="n"/>
      <c r="H216" s="10" t="n"/>
      <c r="I216" s="10">
        <f>IF($G216="Approved",IF($H216="",IF($F216="",0,$F216),$H216),0)</f>
        <v/>
      </c>
      <c r="J216" s="9" t="n"/>
      <c r="K216" s="9" t="n"/>
      <c r="L216" s="9" t="n"/>
    </row>
    <row r="217">
      <c r="A217" s="15" t="n"/>
      <c r="B217" s="9" t="n"/>
      <c r="C217" s="9" t="n"/>
      <c r="D217" s="17" t="n"/>
      <c r="E217" s="17" t="n"/>
      <c r="F217" s="10">
        <f>IF(OR($D217="",$E217=""),"",ROUND(MOD($E217-$D217,1)*24,2))</f>
        <v/>
      </c>
      <c r="G217" s="9" t="n"/>
      <c r="H217" s="10" t="n"/>
      <c r="I217" s="10">
        <f>IF($G217="Approved",IF($H217="",IF($F217="",0,$F217),$H217),0)</f>
        <v/>
      </c>
      <c r="J217" s="9" t="n"/>
      <c r="K217" s="9" t="n"/>
      <c r="L217" s="9" t="n"/>
    </row>
    <row r="218">
      <c r="A218" s="15" t="n"/>
      <c r="B218" s="9" t="n"/>
      <c r="C218" s="9" t="n"/>
      <c r="D218" s="17" t="n"/>
      <c r="E218" s="17" t="n"/>
      <c r="F218" s="10">
        <f>IF(OR($D218="",$E218=""),"",ROUND(MOD($E218-$D218,1)*24,2))</f>
        <v/>
      </c>
      <c r="G218" s="9" t="n"/>
      <c r="H218" s="10" t="n"/>
      <c r="I218" s="10">
        <f>IF($G218="Approved",IF($H218="",IF($F218="",0,$F218),$H218),0)</f>
        <v/>
      </c>
      <c r="J218" s="9" t="n"/>
      <c r="K218" s="9" t="n"/>
      <c r="L218" s="9" t="n"/>
    </row>
    <row r="219">
      <c r="A219" s="15" t="n"/>
      <c r="B219" s="9" t="n"/>
      <c r="C219" s="9" t="n"/>
      <c r="D219" s="17" t="n"/>
      <c r="E219" s="17" t="n"/>
      <c r="F219" s="10">
        <f>IF(OR($D219="",$E219=""),"",ROUND(MOD($E219-$D219,1)*24,2))</f>
        <v/>
      </c>
      <c r="G219" s="9" t="n"/>
      <c r="H219" s="10" t="n"/>
      <c r="I219" s="10">
        <f>IF($G219="Approved",IF($H219="",IF($F219="",0,$F219),$H219),0)</f>
        <v/>
      </c>
      <c r="J219" s="9" t="n"/>
      <c r="K219" s="9" t="n"/>
      <c r="L219" s="9" t="n"/>
    </row>
    <row r="220">
      <c r="A220" s="15" t="n"/>
      <c r="B220" s="9" t="n"/>
      <c r="C220" s="9" t="n"/>
      <c r="D220" s="17" t="n"/>
      <c r="E220" s="17" t="n"/>
      <c r="F220" s="10">
        <f>IF(OR($D220="",$E220=""),"",ROUND(MOD($E220-$D220,1)*24,2))</f>
        <v/>
      </c>
      <c r="G220" s="9" t="n"/>
      <c r="H220" s="10" t="n"/>
      <c r="I220" s="10">
        <f>IF($G220="Approved",IF($H220="",IF($F220="",0,$F220),$H220),0)</f>
        <v/>
      </c>
      <c r="J220" s="9" t="n"/>
      <c r="K220" s="9" t="n"/>
      <c r="L220" s="9" t="n"/>
    </row>
    <row r="221">
      <c r="A221" s="15" t="n"/>
      <c r="B221" s="9" t="n"/>
      <c r="C221" s="9" t="n"/>
      <c r="D221" s="17" t="n"/>
      <c r="E221" s="17" t="n"/>
      <c r="F221" s="10">
        <f>IF(OR($D221="",$E221=""),"",ROUND(MOD($E221-$D221,1)*24,2))</f>
        <v/>
      </c>
      <c r="G221" s="9" t="n"/>
      <c r="H221" s="10" t="n"/>
      <c r="I221" s="10">
        <f>IF($G221="Approved",IF($H221="",IF($F221="",0,$F221),$H221),0)</f>
        <v/>
      </c>
      <c r="J221" s="9" t="n"/>
      <c r="K221" s="9" t="n"/>
      <c r="L221" s="9" t="n"/>
    </row>
    <row r="222">
      <c r="A222" s="15" t="n"/>
      <c r="B222" s="9" t="n"/>
      <c r="C222" s="9" t="n"/>
      <c r="D222" s="17" t="n"/>
      <c r="E222" s="17" t="n"/>
      <c r="F222" s="10">
        <f>IF(OR($D222="",$E222=""),"",ROUND(MOD($E222-$D222,1)*24,2))</f>
        <v/>
      </c>
      <c r="G222" s="9" t="n"/>
      <c r="H222" s="10" t="n"/>
      <c r="I222" s="10">
        <f>IF($G222="Approved",IF($H222="",IF($F222="",0,$F222),$H222),0)</f>
        <v/>
      </c>
      <c r="J222" s="9" t="n"/>
      <c r="K222" s="9" t="n"/>
      <c r="L222" s="9" t="n"/>
    </row>
    <row r="223">
      <c r="A223" s="15" t="n"/>
      <c r="B223" s="9" t="n"/>
      <c r="C223" s="9" t="n"/>
      <c r="D223" s="17" t="n"/>
      <c r="E223" s="17" t="n"/>
      <c r="F223" s="10">
        <f>IF(OR($D223="",$E223=""),"",ROUND(MOD($E223-$D223,1)*24,2))</f>
        <v/>
      </c>
      <c r="G223" s="9" t="n"/>
      <c r="H223" s="10" t="n"/>
      <c r="I223" s="10">
        <f>IF($G223="Approved",IF($H223="",IF($F223="",0,$F223),$H223),0)</f>
        <v/>
      </c>
      <c r="J223" s="9" t="n"/>
      <c r="K223" s="9" t="n"/>
      <c r="L223" s="9" t="n"/>
    </row>
    <row r="224">
      <c r="A224" s="15" t="n"/>
      <c r="B224" s="9" t="n"/>
      <c r="C224" s="9" t="n"/>
      <c r="D224" s="17" t="n"/>
      <c r="E224" s="17" t="n"/>
      <c r="F224" s="10">
        <f>IF(OR($D224="",$E224=""),"",ROUND(MOD($E224-$D224,1)*24,2))</f>
        <v/>
      </c>
      <c r="G224" s="9" t="n"/>
      <c r="H224" s="10" t="n"/>
      <c r="I224" s="10">
        <f>IF($G224="Approved",IF($H224="",IF($F224="",0,$F224),$H224),0)</f>
        <v/>
      </c>
      <c r="J224" s="9" t="n"/>
      <c r="K224" s="9" t="n"/>
      <c r="L224" s="9" t="n"/>
    </row>
    <row r="225">
      <c r="A225" s="15" t="n"/>
      <c r="B225" s="9" t="n"/>
      <c r="C225" s="9" t="n"/>
      <c r="D225" s="17" t="n"/>
      <c r="E225" s="17" t="n"/>
      <c r="F225" s="10">
        <f>IF(OR($D225="",$E225=""),"",ROUND(MOD($E225-$D225,1)*24,2))</f>
        <v/>
      </c>
      <c r="G225" s="9" t="n"/>
      <c r="H225" s="10" t="n"/>
      <c r="I225" s="10">
        <f>IF($G225="Approved",IF($H225="",IF($F225="",0,$F225),$H225),0)</f>
        <v/>
      </c>
      <c r="J225" s="9" t="n"/>
      <c r="K225" s="9" t="n"/>
      <c r="L225" s="9" t="n"/>
    </row>
    <row r="226">
      <c r="A226" s="15" t="n"/>
      <c r="B226" s="9" t="n"/>
      <c r="C226" s="9" t="n"/>
      <c r="D226" s="17" t="n"/>
      <c r="E226" s="17" t="n"/>
      <c r="F226" s="10">
        <f>IF(OR($D226="",$E226=""),"",ROUND(MOD($E226-$D226,1)*24,2))</f>
        <v/>
      </c>
      <c r="G226" s="9" t="n"/>
      <c r="H226" s="10" t="n"/>
      <c r="I226" s="10">
        <f>IF($G226="Approved",IF($H226="",IF($F226="",0,$F226),$H226),0)</f>
        <v/>
      </c>
      <c r="J226" s="9" t="n"/>
      <c r="K226" s="9" t="n"/>
      <c r="L226" s="9" t="n"/>
    </row>
    <row r="227">
      <c r="A227" s="15" t="n"/>
      <c r="B227" s="9" t="n"/>
      <c r="C227" s="9" t="n"/>
      <c r="D227" s="17" t="n"/>
      <c r="E227" s="17" t="n"/>
      <c r="F227" s="10">
        <f>IF(OR($D227="",$E227=""),"",ROUND(MOD($E227-$D227,1)*24,2))</f>
        <v/>
      </c>
      <c r="G227" s="9" t="n"/>
      <c r="H227" s="10" t="n"/>
      <c r="I227" s="10">
        <f>IF($G227="Approved",IF($H227="",IF($F227="",0,$F227),$H227),0)</f>
        <v/>
      </c>
      <c r="J227" s="9" t="n"/>
      <c r="K227" s="9" t="n"/>
      <c r="L227" s="9" t="n"/>
    </row>
    <row r="228">
      <c r="A228" s="15" t="n"/>
      <c r="B228" s="9" t="n"/>
      <c r="C228" s="9" t="n"/>
      <c r="D228" s="17" t="n"/>
      <c r="E228" s="17" t="n"/>
      <c r="F228" s="10">
        <f>IF(OR($D228="",$E228=""),"",ROUND(MOD($E228-$D228,1)*24,2))</f>
        <v/>
      </c>
      <c r="G228" s="9" t="n"/>
      <c r="H228" s="10" t="n"/>
      <c r="I228" s="10">
        <f>IF($G228="Approved",IF($H228="",IF($F228="",0,$F228),$H228),0)</f>
        <v/>
      </c>
      <c r="J228" s="9" t="n"/>
      <c r="K228" s="9" t="n"/>
      <c r="L228" s="9" t="n"/>
    </row>
    <row r="229">
      <c r="A229" s="15" t="n"/>
      <c r="B229" s="9" t="n"/>
      <c r="C229" s="9" t="n"/>
      <c r="D229" s="17" t="n"/>
      <c r="E229" s="17" t="n"/>
      <c r="F229" s="10">
        <f>IF(OR($D229="",$E229=""),"",ROUND(MOD($E229-$D229,1)*24,2))</f>
        <v/>
      </c>
      <c r="G229" s="9" t="n"/>
      <c r="H229" s="10" t="n"/>
      <c r="I229" s="10">
        <f>IF($G229="Approved",IF($H229="",IF($F229="",0,$F229),$H229),0)</f>
        <v/>
      </c>
      <c r="J229" s="9" t="n"/>
      <c r="K229" s="9" t="n"/>
      <c r="L229" s="9" t="n"/>
    </row>
    <row r="230">
      <c r="A230" s="15" t="n"/>
      <c r="B230" s="9" t="n"/>
      <c r="C230" s="9" t="n"/>
      <c r="D230" s="17" t="n"/>
      <c r="E230" s="17" t="n"/>
      <c r="F230" s="10">
        <f>IF(OR($D230="",$E230=""),"",ROUND(MOD($E230-$D230,1)*24,2))</f>
        <v/>
      </c>
      <c r="G230" s="9" t="n"/>
      <c r="H230" s="10" t="n"/>
      <c r="I230" s="10">
        <f>IF($G230="Approved",IF($H230="",IF($F230="",0,$F230),$H230),0)</f>
        <v/>
      </c>
      <c r="J230" s="9" t="n"/>
      <c r="K230" s="9" t="n"/>
      <c r="L230" s="9" t="n"/>
    </row>
    <row r="231">
      <c r="A231" s="15" t="n"/>
      <c r="B231" s="9" t="n"/>
      <c r="C231" s="9" t="n"/>
      <c r="D231" s="17" t="n"/>
      <c r="E231" s="17" t="n"/>
      <c r="F231" s="10">
        <f>IF(OR($D231="",$E231=""),"",ROUND(MOD($E231-$D231,1)*24,2))</f>
        <v/>
      </c>
      <c r="G231" s="9" t="n"/>
      <c r="H231" s="10" t="n"/>
      <c r="I231" s="10">
        <f>IF($G231="Approved",IF($H231="",IF($F231="",0,$F231),$H231),0)</f>
        <v/>
      </c>
      <c r="J231" s="9" t="n"/>
      <c r="K231" s="9" t="n"/>
      <c r="L231" s="9" t="n"/>
    </row>
    <row r="232">
      <c r="A232" s="15" t="n"/>
      <c r="B232" s="9" t="n"/>
      <c r="C232" s="9" t="n"/>
      <c r="D232" s="17" t="n"/>
      <c r="E232" s="17" t="n"/>
      <c r="F232" s="10">
        <f>IF(OR($D232="",$E232=""),"",ROUND(MOD($E232-$D232,1)*24,2))</f>
        <v/>
      </c>
      <c r="G232" s="9" t="n"/>
      <c r="H232" s="10" t="n"/>
      <c r="I232" s="10">
        <f>IF($G232="Approved",IF($H232="",IF($F232="",0,$F232),$H232),0)</f>
        <v/>
      </c>
      <c r="J232" s="9" t="n"/>
      <c r="K232" s="9" t="n"/>
      <c r="L232" s="9" t="n"/>
    </row>
    <row r="233">
      <c r="A233" s="15" t="n"/>
      <c r="B233" s="9" t="n"/>
      <c r="C233" s="9" t="n"/>
      <c r="D233" s="17" t="n"/>
      <c r="E233" s="17" t="n"/>
      <c r="F233" s="10">
        <f>IF(OR($D233="",$E233=""),"",ROUND(MOD($E233-$D233,1)*24,2))</f>
        <v/>
      </c>
      <c r="G233" s="9" t="n"/>
      <c r="H233" s="10" t="n"/>
      <c r="I233" s="10">
        <f>IF($G233="Approved",IF($H233="",IF($F233="",0,$F233),$H233),0)</f>
        <v/>
      </c>
      <c r="J233" s="9" t="n"/>
      <c r="K233" s="9" t="n"/>
      <c r="L233" s="9" t="n"/>
    </row>
    <row r="234">
      <c r="A234" s="15" t="n"/>
      <c r="B234" s="9" t="n"/>
      <c r="C234" s="9" t="n"/>
      <c r="D234" s="17" t="n"/>
      <c r="E234" s="17" t="n"/>
      <c r="F234" s="10">
        <f>IF(OR($D234="",$E234=""),"",ROUND(MOD($E234-$D234,1)*24,2))</f>
        <v/>
      </c>
      <c r="G234" s="9" t="n"/>
      <c r="H234" s="10" t="n"/>
      <c r="I234" s="10">
        <f>IF($G234="Approved",IF($H234="",IF($F234="",0,$F234),$H234),0)</f>
        <v/>
      </c>
      <c r="J234" s="9" t="n"/>
      <c r="K234" s="9" t="n"/>
      <c r="L234" s="9" t="n"/>
    </row>
    <row r="235">
      <c r="A235" s="15" t="n"/>
      <c r="B235" s="9" t="n"/>
      <c r="C235" s="9" t="n"/>
      <c r="D235" s="17" t="n"/>
      <c r="E235" s="17" t="n"/>
      <c r="F235" s="10">
        <f>IF(OR($D235="",$E235=""),"",ROUND(MOD($E235-$D235,1)*24,2))</f>
        <v/>
      </c>
      <c r="G235" s="9" t="n"/>
      <c r="H235" s="10" t="n"/>
      <c r="I235" s="10">
        <f>IF($G235="Approved",IF($H235="",IF($F235="",0,$F235),$H235),0)</f>
        <v/>
      </c>
      <c r="J235" s="9" t="n"/>
      <c r="K235" s="9" t="n"/>
      <c r="L235" s="9" t="n"/>
    </row>
    <row r="236">
      <c r="A236" s="15" t="n"/>
      <c r="B236" s="9" t="n"/>
      <c r="C236" s="9" t="n"/>
      <c r="D236" s="17" t="n"/>
      <c r="E236" s="17" t="n"/>
      <c r="F236" s="10">
        <f>IF(OR($D236="",$E236=""),"",ROUND(MOD($E236-$D236,1)*24,2))</f>
        <v/>
      </c>
      <c r="G236" s="9" t="n"/>
      <c r="H236" s="10" t="n"/>
      <c r="I236" s="10">
        <f>IF($G236="Approved",IF($H236="",IF($F236="",0,$F236),$H236),0)</f>
        <v/>
      </c>
      <c r="J236" s="9" t="n"/>
      <c r="K236" s="9" t="n"/>
      <c r="L236" s="9" t="n"/>
    </row>
    <row r="237">
      <c r="A237" s="15" t="n"/>
      <c r="B237" s="9" t="n"/>
      <c r="C237" s="9" t="n"/>
      <c r="D237" s="17" t="n"/>
      <c r="E237" s="17" t="n"/>
      <c r="F237" s="10">
        <f>IF(OR($D237="",$E237=""),"",ROUND(MOD($E237-$D237,1)*24,2))</f>
        <v/>
      </c>
      <c r="G237" s="9" t="n"/>
      <c r="H237" s="10" t="n"/>
      <c r="I237" s="10">
        <f>IF($G237="Approved",IF($H237="",IF($F237="",0,$F237),$H237),0)</f>
        <v/>
      </c>
      <c r="J237" s="9" t="n"/>
      <c r="K237" s="9" t="n"/>
      <c r="L237" s="9" t="n"/>
    </row>
    <row r="238">
      <c r="A238" s="15" t="n"/>
      <c r="B238" s="9" t="n"/>
      <c r="C238" s="9" t="n"/>
      <c r="D238" s="17" t="n"/>
      <c r="E238" s="17" t="n"/>
      <c r="F238" s="10">
        <f>IF(OR($D238="",$E238=""),"",ROUND(MOD($E238-$D238,1)*24,2))</f>
        <v/>
      </c>
      <c r="G238" s="9" t="n"/>
      <c r="H238" s="10" t="n"/>
      <c r="I238" s="10">
        <f>IF($G238="Approved",IF($H238="",IF($F238="",0,$F238),$H238),0)</f>
        <v/>
      </c>
      <c r="J238" s="9" t="n"/>
      <c r="K238" s="9" t="n"/>
      <c r="L238" s="9" t="n"/>
    </row>
    <row r="239">
      <c r="A239" s="15" t="n"/>
      <c r="B239" s="9" t="n"/>
      <c r="C239" s="9" t="n"/>
      <c r="D239" s="17" t="n"/>
      <c r="E239" s="17" t="n"/>
      <c r="F239" s="10">
        <f>IF(OR($D239="",$E239=""),"",ROUND(MOD($E239-$D239,1)*24,2))</f>
        <v/>
      </c>
      <c r="G239" s="9" t="n"/>
      <c r="H239" s="10" t="n"/>
      <c r="I239" s="10">
        <f>IF($G239="Approved",IF($H239="",IF($F239="",0,$F239),$H239),0)</f>
        <v/>
      </c>
      <c r="J239" s="9" t="n"/>
      <c r="K239" s="9" t="n"/>
      <c r="L239" s="9" t="n"/>
    </row>
    <row r="240">
      <c r="A240" s="15" t="n"/>
      <c r="B240" s="9" t="n"/>
      <c r="C240" s="9" t="n"/>
      <c r="D240" s="17" t="n"/>
      <c r="E240" s="17" t="n"/>
      <c r="F240" s="10">
        <f>IF(OR($D240="",$E240=""),"",ROUND(MOD($E240-$D240,1)*24,2))</f>
        <v/>
      </c>
      <c r="G240" s="9" t="n"/>
      <c r="H240" s="10" t="n"/>
      <c r="I240" s="10">
        <f>IF($G240="Approved",IF($H240="",IF($F240="",0,$F240),$H240),0)</f>
        <v/>
      </c>
      <c r="J240" s="9" t="n"/>
      <c r="K240" s="9" t="n"/>
      <c r="L240" s="9" t="n"/>
    </row>
    <row r="241">
      <c r="A241" s="15" t="n"/>
      <c r="B241" s="9" t="n"/>
      <c r="C241" s="9" t="n"/>
      <c r="D241" s="17" t="n"/>
      <c r="E241" s="17" t="n"/>
      <c r="F241" s="10">
        <f>IF(OR($D241="",$E241=""),"",ROUND(MOD($E241-$D241,1)*24,2))</f>
        <v/>
      </c>
      <c r="G241" s="9" t="n"/>
      <c r="H241" s="10" t="n"/>
      <c r="I241" s="10">
        <f>IF($G241="Approved",IF($H241="",IF($F241="",0,$F241),$H241),0)</f>
        <v/>
      </c>
      <c r="J241" s="9" t="n"/>
      <c r="K241" s="9" t="n"/>
      <c r="L241" s="9" t="n"/>
    </row>
    <row r="242">
      <c r="A242" s="15" t="n"/>
      <c r="B242" s="9" t="n"/>
      <c r="C242" s="9" t="n"/>
      <c r="D242" s="17" t="n"/>
      <c r="E242" s="17" t="n"/>
      <c r="F242" s="10">
        <f>IF(OR($D242="",$E242=""),"",ROUND(MOD($E242-$D242,1)*24,2))</f>
        <v/>
      </c>
      <c r="G242" s="9" t="n"/>
      <c r="H242" s="10" t="n"/>
      <c r="I242" s="10">
        <f>IF($G242="Approved",IF($H242="",IF($F242="",0,$F242),$H242),0)</f>
        <v/>
      </c>
      <c r="J242" s="9" t="n"/>
      <c r="K242" s="9" t="n"/>
      <c r="L242" s="9" t="n"/>
    </row>
    <row r="243">
      <c r="A243" s="15" t="n"/>
      <c r="B243" s="9" t="n"/>
      <c r="C243" s="9" t="n"/>
      <c r="D243" s="17" t="n"/>
      <c r="E243" s="17" t="n"/>
      <c r="F243" s="10">
        <f>IF(OR($D243="",$E243=""),"",ROUND(MOD($E243-$D243,1)*24,2))</f>
        <v/>
      </c>
      <c r="G243" s="9" t="n"/>
      <c r="H243" s="10" t="n"/>
      <c r="I243" s="10">
        <f>IF($G243="Approved",IF($H243="",IF($F243="",0,$F243),$H243),0)</f>
        <v/>
      </c>
      <c r="J243" s="9" t="n"/>
      <c r="K243" s="9" t="n"/>
      <c r="L243" s="9" t="n"/>
    </row>
    <row r="244">
      <c r="A244" s="15" t="n"/>
      <c r="B244" s="9" t="n"/>
      <c r="C244" s="9" t="n"/>
      <c r="D244" s="17" t="n"/>
      <c r="E244" s="17" t="n"/>
      <c r="F244" s="10">
        <f>IF(OR($D244="",$E244=""),"",ROUND(MOD($E244-$D244,1)*24,2))</f>
        <v/>
      </c>
      <c r="G244" s="9" t="n"/>
      <c r="H244" s="10" t="n"/>
      <c r="I244" s="10">
        <f>IF($G244="Approved",IF($H244="",IF($F244="",0,$F244),$H244),0)</f>
        <v/>
      </c>
      <c r="J244" s="9" t="n"/>
      <c r="K244" s="9" t="n"/>
      <c r="L244" s="9" t="n"/>
    </row>
    <row r="245">
      <c r="A245" s="15" t="n"/>
      <c r="B245" s="9" t="n"/>
      <c r="C245" s="9" t="n"/>
      <c r="D245" s="17" t="n"/>
      <c r="E245" s="17" t="n"/>
      <c r="F245" s="10">
        <f>IF(OR($D245="",$E245=""),"",ROUND(MOD($E245-$D245,1)*24,2))</f>
        <v/>
      </c>
      <c r="G245" s="9" t="n"/>
      <c r="H245" s="10" t="n"/>
      <c r="I245" s="10">
        <f>IF($G245="Approved",IF($H245="",IF($F245="",0,$F245),$H245),0)</f>
        <v/>
      </c>
      <c r="J245" s="9" t="n"/>
      <c r="K245" s="9" t="n"/>
      <c r="L245" s="9" t="n"/>
    </row>
    <row r="246">
      <c r="A246" s="15" t="n"/>
      <c r="B246" s="9" t="n"/>
      <c r="C246" s="9" t="n"/>
      <c r="D246" s="17" t="n"/>
      <c r="E246" s="17" t="n"/>
      <c r="F246" s="10">
        <f>IF(OR($D246="",$E246=""),"",ROUND(MOD($E246-$D246,1)*24,2))</f>
        <v/>
      </c>
      <c r="G246" s="9" t="n"/>
      <c r="H246" s="10" t="n"/>
      <c r="I246" s="10">
        <f>IF($G246="Approved",IF($H246="",IF($F246="",0,$F246),$H246),0)</f>
        <v/>
      </c>
      <c r="J246" s="9" t="n"/>
      <c r="K246" s="9" t="n"/>
      <c r="L246" s="9" t="n"/>
    </row>
    <row r="247">
      <c r="A247" s="15" t="n"/>
      <c r="B247" s="9" t="n"/>
      <c r="C247" s="9" t="n"/>
      <c r="D247" s="17" t="n"/>
      <c r="E247" s="17" t="n"/>
      <c r="F247" s="10">
        <f>IF(OR($D247="",$E247=""),"",ROUND(MOD($E247-$D247,1)*24,2))</f>
        <v/>
      </c>
      <c r="G247" s="9" t="n"/>
      <c r="H247" s="10" t="n"/>
      <c r="I247" s="10">
        <f>IF($G247="Approved",IF($H247="",IF($F247="",0,$F247),$H247),0)</f>
        <v/>
      </c>
      <c r="J247" s="9" t="n"/>
      <c r="K247" s="9" t="n"/>
      <c r="L247" s="9" t="n"/>
    </row>
    <row r="248">
      <c r="A248" s="15" t="n"/>
      <c r="B248" s="9" t="n"/>
      <c r="C248" s="9" t="n"/>
      <c r="D248" s="17" t="n"/>
      <c r="E248" s="17" t="n"/>
      <c r="F248" s="10">
        <f>IF(OR($D248="",$E248=""),"",ROUND(MOD($E248-$D248,1)*24,2))</f>
        <v/>
      </c>
      <c r="G248" s="9" t="n"/>
      <c r="H248" s="10" t="n"/>
      <c r="I248" s="10">
        <f>IF($G248="Approved",IF($H248="",IF($F248="",0,$F248),$H248),0)</f>
        <v/>
      </c>
      <c r="J248" s="9" t="n"/>
      <c r="K248" s="9" t="n"/>
      <c r="L248" s="9" t="n"/>
    </row>
    <row r="249">
      <c r="A249" s="15" t="n"/>
      <c r="B249" s="9" t="n"/>
      <c r="C249" s="9" t="n"/>
      <c r="D249" s="17" t="n"/>
      <c r="E249" s="17" t="n"/>
      <c r="F249" s="10">
        <f>IF(OR($D249="",$E249=""),"",ROUND(MOD($E249-$D249,1)*24,2))</f>
        <v/>
      </c>
      <c r="G249" s="9" t="n"/>
      <c r="H249" s="10" t="n"/>
      <c r="I249" s="10">
        <f>IF($G249="Approved",IF($H249="",IF($F249="",0,$F249),$H249),0)</f>
        <v/>
      </c>
      <c r="J249" s="9" t="n"/>
      <c r="K249" s="9" t="n"/>
      <c r="L249" s="9" t="n"/>
    </row>
    <row r="250">
      <c r="A250" s="15" t="n"/>
      <c r="B250" s="9" t="n"/>
      <c r="C250" s="9" t="n"/>
      <c r="D250" s="17" t="n"/>
      <c r="E250" s="17" t="n"/>
      <c r="F250" s="10">
        <f>IF(OR($D250="",$E250=""),"",ROUND(MOD($E250-$D250,1)*24,2))</f>
        <v/>
      </c>
      <c r="G250" s="9" t="n"/>
      <c r="H250" s="10" t="n"/>
      <c r="I250" s="10">
        <f>IF($G250="Approved",IF($H250="",IF($F250="",0,$F250),$H250),0)</f>
        <v/>
      </c>
      <c r="J250" s="9" t="n"/>
      <c r="K250" s="9" t="n"/>
      <c r="L250" s="9" t="n"/>
    </row>
    <row r="251">
      <c r="A251" s="15" t="n"/>
      <c r="B251" s="9" t="n"/>
      <c r="C251" s="9" t="n"/>
      <c r="D251" s="17" t="n"/>
      <c r="E251" s="17" t="n"/>
      <c r="F251" s="10">
        <f>IF(OR($D251="",$E251=""),"",ROUND(MOD($E251-$D251,1)*24,2))</f>
        <v/>
      </c>
      <c r="G251" s="9" t="n"/>
      <c r="H251" s="10" t="n"/>
      <c r="I251" s="10">
        <f>IF($G251="Approved",IF($H251="",IF($F251="",0,$F251),$H251),0)</f>
        <v/>
      </c>
      <c r="J251" s="9" t="n"/>
      <c r="K251" s="9" t="n"/>
      <c r="L251" s="9" t="n"/>
    </row>
    <row r="252">
      <c r="A252" s="15" t="n"/>
      <c r="B252" s="9" t="n"/>
      <c r="C252" s="9" t="n"/>
      <c r="D252" s="17" t="n"/>
      <c r="E252" s="17" t="n"/>
      <c r="F252" s="10">
        <f>IF(OR($D252="",$E252=""),"",ROUND(MOD($E252-$D252,1)*24,2))</f>
        <v/>
      </c>
      <c r="G252" s="9" t="n"/>
      <c r="H252" s="10" t="n"/>
      <c r="I252" s="10">
        <f>IF($G252="Approved",IF($H252="",IF($F252="",0,$F252),$H252),0)</f>
        <v/>
      </c>
      <c r="J252" s="9" t="n"/>
      <c r="K252" s="9" t="n"/>
      <c r="L252" s="9" t="n"/>
    </row>
    <row r="253">
      <c r="A253" s="15" t="n"/>
      <c r="B253" s="9" t="n"/>
      <c r="C253" s="9" t="n"/>
      <c r="D253" s="17" t="n"/>
      <c r="E253" s="17" t="n"/>
      <c r="F253" s="10">
        <f>IF(OR($D253="",$E253=""),"",ROUND(MOD($E253-$D253,1)*24,2))</f>
        <v/>
      </c>
      <c r="G253" s="9" t="n"/>
      <c r="H253" s="10" t="n"/>
      <c r="I253" s="10">
        <f>IF($G253="Approved",IF($H253="",IF($F253="",0,$F253),$H253),0)</f>
        <v/>
      </c>
      <c r="J253" s="9" t="n"/>
      <c r="K253" s="9" t="n"/>
      <c r="L253" s="9" t="n"/>
    </row>
    <row r="254">
      <c r="A254" s="15" t="n"/>
      <c r="B254" s="9" t="n"/>
      <c r="C254" s="9" t="n"/>
      <c r="D254" s="17" t="n"/>
      <c r="E254" s="17" t="n"/>
      <c r="F254" s="10">
        <f>IF(OR($D254="",$E254=""),"",ROUND(MOD($E254-$D254,1)*24,2))</f>
        <v/>
      </c>
      <c r="G254" s="9" t="n"/>
      <c r="H254" s="10" t="n"/>
      <c r="I254" s="10">
        <f>IF($G254="Approved",IF($H254="",IF($F254="",0,$F254),$H254),0)</f>
        <v/>
      </c>
      <c r="J254" s="9" t="n"/>
      <c r="K254" s="9" t="n"/>
      <c r="L254" s="9" t="n"/>
    </row>
    <row r="255">
      <c r="A255" s="15" t="n"/>
      <c r="B255" s="9" t="n"/>
      <c r="C255" s="9" t="n"/>
      <c r="D255" s="17" t="n"/>
      <c r="E255" s="17" t="n"/>
      <c r="F255" s="10">
        <f>IF(OR($D255="",$E255=""),"",ROUND(MOD($E255-$D255,1)*24,2))</f>
        <v/>
      </c>
      <c r="G255" s="9" t="n"/>
      <c r="H255" s="10" t="n"/>
      <c r="I255" s="10">
        <f>IF($G255="Approved",IF($H255="",IF($F255="",0,$F255),$H255),0)</f>
        <v/>
      </c>
      <c r="J255" s="9" t="n"/>
      <c r="K255" s="9" t="n"/>
      <c r="L255" s="9" t="n"/>
    </row>
    <row r="256">
      <c r="A256" s="15" t="n"/>
      <c r="B256" s="9" t="n"/>
      <c r="C256" s="9" t="n"/>
      <c r="D256" s="17" t="n"/>
      <c r="E256" s="17" t="n"/>
      <c r="F256" s="10">
        <f>IF(OR($D256="",$E256=""),"",ROUND(MOD($E256-$D256,1)*24,2))</f>
        <v/>
      </c>
      <c r="G256" s="9" t="n"/>
      <c r="H256" s="10" t="n"/>
      <c r="I256" s="10">
        <f>IF($G256="Approved",IF($H256="",IF($F256="",0,$F256),$H256),0)</f>
        <v/>
      </c>
      <c r="J256" s="9" t="n"/>
      <c r="K256" s="9" t="n"/>
      <c r="L256" s="9" t="n"/>
    </row>
    <row r="257">
      <c r="A257" s="15" t="n"/>
      <c r="B257" s="9" t="n"/>
      <c r="C257" s="9" t="n"/>
      <c r="D257" s="17" t="n"/>
      <c r="E257" s="17" t="n"/>
      <c r="F257" s="10">
        <f>IF(OR($D257="",$E257=""),"",ROUND(MOD($E257-$D257,1)*24,2))</f>
        <v/>
      </c>
      <c r="G257" s="9" t="n"/>
      <c r="H257" s="10" t="n"/>
      <c r="I257" s="10">
        <f>IF($G257="Approved",IF($H257="",IF($F257="",0,$F257),$H257),0)</f>
        <v/>
      </c>
      <c r="J257" s="9" t="n"/>
      <c r="K257" s="9" t="n"/>
      <c r="L257" s="9" t="n"/>
    </row>
    <row r="258">
      <c r="A258" s="15" t="n"/>
      <c r="B258" s="9" t="n"/>
      <c r="C258" s="9" t="n"/>
      <c r="D258" s="17" t="n"/>
      <c r="E258" s="17" t="n"/>
      <c r="F258" s="10">
        <f>IF(OR($D258="",$E258=""),"",ROUND(MOD($E258-$D258,1)*24,2))</f>
        <v/>
      </c>
      <c r="G258" s="9" t="n"/>
      <c r="H258" s="10" t="n"/>
      <c r="I258" s="10">
        <f>IF($G258="Approved",IF($H258="",IF($F258="",0,$F258),$H258),0)</f>
        <v/>
      </c>
      <c r="J258" s="9" t="n"/>
      <c r="K258" s="9" t="n"/>
      <c r="L258" s="9" t="n"/>
    </row>
    <row r="259">
      <c r="A259" s="15" t="n"/>
      <c r="B259" s="9" t="n"/>
      <c r="C259" s="9" t="n"/>
      <c r="D259" s="17" t="n"/>
      <c r="E259" s="17" t="n"/>
      <c r="F259" s="10">
        <f>IF(OR($D259="",$E259=""),"",ROUND(MOD($E259-$D259,1)*24,2))</f>
        <v/>
      </c>
      <c r="G259" s="9" t="n"/>
      <c r="H259" s="10" t="n"/>
      <c r="I259" s="10">
        <f>IF($G259="Approved",IF($H259="",IF($F259="",0,$F259),$H259),0)</f>
        <v/>
      </c>
      <c r="J259" s="9" t="n"/>
      <c r="K259" s="9" t="n"/>
      <c r="L259" s="9" t="n"/>
    </row>
    <row r="260">
      <c r="A260" s="15" t="n"/>
      <c r="B260" s="9" t="n"/>
      <c r="C260" s="9" t="n"/>
      <c r="D260" s="17" t="n"/>
      <c r="E260" s="17" t="n"/>
      <c r="F260" s="10">
        <f>IF(OR($D260="",$E260=""),"",ROUND(MOD($E260-$D260,1)*24,2))</f>
        <v/>
      </c>
      <c r="G260" s="9" t="n"/>
      <c r="H260" s="10" t="n"/>
      <c r="I260" s="10">
        <f>IF($G260="Approved",IF($H260="",IF($F260="",0,$F260),$H260),0)</f>
        <v/>
      </c>
      <c r="J260" s="9" t="n"/>
      <c r="K260" s="9" t="n"/>
      <c r="L260" s="9" t="n"/>
    </row>
    <row r="261">
      <c r="A261" s="15" t="n"/>
      <c r="B261" s="9" t="n"/>
      <c r="C261" s="9" t="n"/>
      <c r="D261" s="17" t="n"/>
      <c r="E261" s="17" t="n"/>
      <c r="F261" s="10">
        <f>IF(OR($D261="",$E261=""),"",ROUND(MOD($E261-$D261,1)*24,2))</f>
        <v/>
      </c>
      <c r="G261" s="9" t="n"/>
      <c r="H261" s="10" t="n"/>
      <c r="I261" s="10">
        <f>IF($G261="Approved",IF($H261="",IF($F261="",0,$F261),$H261),0)</f>
        <v/>
      </c>
      <c r="J261" s="9" t="n"/>
      <c r="K261" s="9" t="n"/>
      <c r="L261" s="9" t="n"/>
    </row>
    <row r="262">
      <c r="A262" s="15" t="n"/>
      <c r="B262" s="9" t="n"/>
      <c r="C262" s="9" t="n"/>
      <c r="D262" s="17" t="n"/>
      <c r="E262" s="17" t="n"/>
      <c r="F262" s="10">
        <f>IF(OR($D262="",$E262=""),"",ROUND(MOD($E262-$D262,1)*24,2))</f>
        <v/>
      </c>
      <c r="G262" s="9" t="n"/>
      <c r="H262" s="10" t="n"/>
      <c r="I262" s="10">
        <f>IF($G262="Approved",IF($H262="",IF($F262="",0,$F262),$H262),0)</f>
        <v/>
      </c>
      <c r="J262" s="9" t="n"/>
      <c r="K262" s="9" t="n"/>
      <c r="L262" s="9" t="n"/>
    </row>
    <row r="263">
      <c r="A263" s="15" t="n"/>
      <c r="B263" s="9" t="n"/>
      <c r="C263" s="9" t="n"/>
      <c r="D263" s="17" t="n"/>
      <c r="E263" s="17" t="n"/>
      <c r="F263" s="10">
        <f>IF(OR($D263="",$E263=""),"",ROUND(MOD($E263-$D263,1)*24,2))</f>
        <v/>
      </c>
      <c r="G263" s="9" t="n"/>
      <c r="H263" s="10" t="n"/>
      <c r="I263" s="10">
        <f>IF($G263="Approved",IF($H263="",IF($F263="",0,$F263),$H263),0)</f>
        <v/>
      </c>
      <c r="J263" s="9" t="n"/>
      <c r="K263" s="9" t="n"/>
      <c r="L263" s="9" t="n"/>
    </row>
    <row r="264">
      <c r="A264" s="15" t="n"/>
      <c r="B264" s="9" t="n"/>
      <c r="C264" s="9" t="n"/>
      <c r="D264" s="17" t="n"/>
      <c r="E264" s="17" t="n"/>
      <c r="F264" s="10">
        <f>IF(OR($D264="",$E264=""),"",ROUND(MOD($E264-$D264,1)*24,2))</f>
        <v/>
      </c>
      <c r="G264" s="9" t="n"/>
      <c r="H264" s="10" t="n"/>
      <c r="I264" s="10">
        <f>IF($G264="Approved",IF($H264="",IF($F264="",0,$F264),$H264),0)</f>
        <v/>
      </c>
      <c r="J264" s="9" t="n"/>
      <c r="K264" s="9" t="n"/>
      <c r="L264" s="9" t="n"/>
    </row>
    <row r="265">
      <c r="A265" s="15" t="n"/>
      <c r="B265" s="9" t="n"/>
      <c r="C265" s="9" t="n"/>
      <c r="D265" s="17" t="n"/>
      <c r="E265" s="17" t="n"/>
      <c r="F265" s="10">
        <f>IF(OR($D265="",$E265=""),"",ROUND(MOD($E265-$D265,1)*24,2))</f>
        <v/>
      </c>
      <c r="G265" s="9" t="n"/>
      <c r="H265" s="10" t="n"/>
      <c r="I265" s="10">
        <f>IF($G265="Approved",IF($H265="",IF($F265="",0,$F265),$H265),0)</f>
        <v/>
      </c>
      <c r="J265" s="9" t="n"/>
      <c r="K265" s="9" t="n"/>
      <c r="L265" s="9" t="n"/>
    </row>
    <row r="266">
      <c r="A266" s="15" t="n"/>
      <c r="B266" s="9" t="n"/>
      <c r="C266" s="9" t="n"/>
      <c r="D266" s="17" t="n"/>
      <c r="E266" s="17" t="n"/>
      <c r="F266" s="10">
        <f>IF(OR($D266="",$E266=""),"",ROUND(MOD($E266-$D266,1)*24,2))</f>
        <v/>
      </c>
      <c r="G266" s="9" t="n"/>
      <c r="H266" s="10" t="n"/>
      <c r="I266" s="10">
        <f>IF($G266="Approved",IF($H266="",IF($F266="",0,$F266),$H266),0)</f>
        <v/>
      </c>
      <c r="J266" s="9" t="n"/>
      <c r="K266" s="9" t="n"/>
      <c r="L266" s="9" t="n"/>
    </row>
    <row r="267">
      <c r="A267" s="15" t="n"/>
      <c r="B267" s="9" t="n"/>
      <c r="C267" s="9" t="n"/>
      <c r="D267" s="17" t="n"/>
      <c r="E267" s="17" t="n"/>
      <c r="F267" s="10">
        <f>IF(OR($D267="",$E267=""),"",ROUND(MOD($E267-$D267,1)*24,2))</f>
        <v/>
      </c>
      <c r="G267" s="9" t="n"/>
      <c r="H267" s="10" t="n"/>
      <c r="I267" s="10">
        <f>IF($G267="Approved",IF($H267="",IF($F267="",0,$F267),$H267),0)</f>
        <v/>
      </c>
      <c r="J267" s="9" t="n"/>
      <c r="K267" s="9" t="n"/>
      <c r="L267" s="9" t="n"/>
    </row>
    <row r="268">
      <c r="A268" s="15" t="n"/>
      <c r="B268" s="9" t="n"/>
      <c r="C268" s="9" t="n"/>
      <c r="D268" s="17" t="n"/>
      <c r="E268" s="17" t="n"/>
      <c r="F268" s="10">
        <f>IF(OR($D268="",$E268=""),"",ROUND(MOD($E268-$D268,1)*24,2))</f>
        <v/>
      </c>
      <c r="G268" s="9" t="n"/>
      <c r="H268" s="10" t="n"/>
      <c r="I268" s="10">
        <f>IF($G268="Approved",IF($H268="",IF($F268="",0,$F268),$H268),0)</f>
        <v/>
      </c>
      <c r="J268" s="9" t="n"/>
      <c r="K268" s="9" t="n"/>
      <c r="L268" s="9" t="n"/>
    </row>
    <row r="269">
      <c r="A269" s="15" t="n"/>
      <c r="B269" s="9" t="n"/>
      <c r="C269" s="9" t="n"/>
      <c r="D269" s="17" t="n"/>
      <c r="E269" s="17" t="n"/>
      <c r="F269" s="10">
        <f>IF(OR($D269="",$E269=""),"",ROUND(MOD($E269-$D269,1)*24,2))</f>
        <v/>
      </c>
      <c r="G269" s="9" t="n"/>
      <c r="H269" s="10" t="n"/>
      <c r="I269" s="10">
        <f>IF($G269="Approved",IF($H269="",IF($F269="",0,$F269),$H269),0)</f>
        <v/>
      </c>
      <c r="J269" s="9" t="n"/>
      <c r="K269" s="9" t="n"/>
      <c r="L269" s="9" t="n"/>
    </row>
    <row r="270">
      <c r="A270" s="15" t="n"/>
      <c r="B270" s="9" t="n"/>
      <c r="C270" s="9" t="n"/>
      <c r="D270" s="17" t="n"/>
      <c r="E270" s="17" t="n"/>
      <c r="F270" s="10">
        <f>IF(OR($D270="",$E270=""),"",ROUND(MOD($E270-$D270,1)*24,2))</f>
        <v/>
      </c>
      <c r="G270" s="9" t="n"/>
      <c r="H270" s="10" t="n"/>
      <c r="I270" s="10">
        <f>IF($G270="Approved",IF($H270="",IF($F270="",0,$F270),$H270),0)</f>
        <v/>
      </c>
      <c r="J270" s="9" t="n"/>
      <c r="K270" s="9" t="n"/>
      <c r="L270" s="9" t="n"/>
    </row>
    <row r="271">
      <c r="A271" s="15" t="n"/>
      <c r="B271" s="9" t="n"/>
      <c r="C271" s="9" t="n"/>
      <c r="D271" s="17" t="n"/>
      <c r="E271" s="17" t="n"/>
      <c r="F271" s="10">
        <f>IF(OR($D271="",$E271=""),"",ROUND(MOD($E271-$D271,1)*24,2))</f>
        <v/>
      </c>
      <c r="G271" s="9" t="n"/>
      <c r="H271" s="10" t="n"/>
      <c r="I271" s="10">
        <f>IF($G271="Approved",IF($H271="",IF($F271="",0,$F271),$H271),0)</f>
        <v/>
      </c>
      <c r="J271" s="9" t="n"/>
      <c r="K271" s="9" t="n"/>
      <c r="L271" s="9" t="n"/>
    </row>
    <row r="272">
      <c r="A272" s="15" t="n"/>
      <c r="B272" s="9" t="n"/>
      <c r="C272" s="9" t="n"/>
      <c r="D272" s="17" t="n"/>
      <c r="E272" s="17" t="n"/>
      <c r="F272" s="10">
        <f>IF(OR($D272="",$E272=""),"",ROUND(MOD($E272-$D272,1)*24,2))</f>
        <v/>
      </c>
      <c r="G272" s="9" t="n"/>
      <c r="H272" s="10" t="n"/>
      <c r="I272" s="10">
        <f>IF($G272="Approved",IF($H272="",IF($F272="",0,$F272),$H272),0)</f>
        <v/>
      </c>
      <c r="J272" s="9" t="n"/>
      <c r="K272" s="9" t="n"/>
      <c r="L272" s="9" t="n"/>
    </row>
    <row r="273">
      <c r="A273" s="15" t="n"/>
      <c r="B273" s="9" t="n"/>
      <c r="C273" s="9" t="n"/>
      <c r="D273" s="17" t="n"/>
      <c r="E273" s="17" t="n"/>
      <c r="F273" s="10">
        <f>IF(OR($D273="",$E273=""),"",ROUND(MOD($E273-$D273,1)*24,2))</f>
        <v/>
      </c>
      <c r="G273" s="9" t="n"/>
      <c r="H273" s="10" t="n"/>
      <c r="I273" s="10">
        <f>IF($G273="Approved",IF($H273="",IF($F273="",0,$F273),$H273),0)</f>
        <v/>
      </c>
      <c r="J273" s="9" t="n"/>
      <c r="K273" s="9" t="n"/>
      <c r="L273" s="9" t="n"/>
    </row>
    <row r="274">
      <c r="A274" s="15" t="n"/>
      <c r="B274" s="9" t="n"/>
      <c r="C274" s="9" t="n"/>
      <c r="D274" s="17" t="n"/>
      <c r="E274" s="17" t="n"/>
      <c r="F274" s="10">
        <f>IF(OR($D274="",$E274=""),"",ROUND(MOD($E274-$D274,1)*24,2))</f>
        <v/>
      </c>
      <c r="G274" s="9" t="n"/>
      <c r="H274" s="10" t="n"/>
      <c r="I274" s="10">
        <f>IF($G274="Approved",IF($H274="",IF($F274="",0,$F274),$H274),0)</f>
        <v/>
      </c>
      <c r="J274" s="9" t="n"/>
      <c r="K274" s="9" t="n"/>
      <c r="L274" s="9" t="n"/>
    </row>
    <row r="275">
      <c r="A275" s="15" t="n"/>
      <c r="B275" s="9" t="n"/>
      <c r="C275" s="9" t="n"/>
      <c r="D275" s="17" t="n"/>
      <c r="E275" s="17" t="n"/>
      <c r="F275" s="10">
        <f>IF(OR($D275="",$E275=""),"",ROUND(MOD($E275-$D275,1)*24,2))</f>
        <v/>
      </c>
      <c r="G275" s="9" t="n"/>
      <c r="H275" s="10" t="n"/>
      <c r="I275" s="10">
        <f>IF($G275="Approved",IF($H275="",IF($F275="",0,$F275),$H275),0)</f>
        <v/>
      </c>
      <c r="J275" s="9" t="n"/>
      <c r="K275" s="9" t="n"/>
      <c r="L275" s="9" t="n"/>
    </row>
    <row r="276">
      <c r="A276" s="15" t="n"/>
      <c r="B276" s="9" t="n"/>
      <c r="C276" s="9" t="n"/>
      <c r="D276" s="17" t="n"/>
      <c r="E276" s="17" t="n"/>
      <c r="F276" s="10">
        <f>IF(OR($D276="",$E276=""),"",ROUND(MOD($E276-$D276,1)*24,2))</f>
        <v/>
      </c>
      <c r="G276" s="9" t="n"/>
      <c r="H276" s="10" t="n"/>
      <c r="I276" s="10">
        <f>IF($G276="Approved",IF($H276="",IF($F276="",0,$F276),$H276),0)</f>
        <v/>
      </c>
      <c r="J276" s="9" t="n"/>
      <c r="K276" s="9" t="n"/>
      <c r="L276" s="9" t="n"/>
    </row>
    <row r="277">
      <c r="A277" s="15" t="n"/>
      <c r="B277" s="9" t="n"/>
      <c r="C277" s="9" t="n"/>
      <c r="D277" s="17" t="n"/>
      <c r="E277" s="17" t="n"/>
      <c r="F277" s="10">
        <f>IF(OR($D277="",$E277=""),"",ROUND(MOD($E277-$D277,1)*24,2))</f>
        <v/>
      </c>
      <c r="G277" s="9" t="n"/>
      <c r="H277" s="10" t="n"/>
      <c r="I277" s="10">
        <f>IF($G277="Approved",IF($H277="",IF($F277="",0,$F277),$H277),0)</f>
        <v/>
      </c>
      <c r="J277" s="9" t="n"/>
      <c r="K277" s="9" t="n"/>
      <c r="L277" s="9" t="n"/>
    </row>
    <row r="278">
      <c r="A278" s="15" t="n"/>
      <c r="B278" s="9" t="n"/>
      <c r="C278" s="9" t="n"/>
      <c r="D278" s="17" t="n"/>
      <c r="E278" s="17" t="n"/>
      <c r="F278" s="10">
        <f>IF(OR($D278="",$E278=""),"",ROUND(MOD($E278-$D278,1)*24,2))</f>
        <v/>
      </c>
      <c r="G278" s="9" t="n"/>
      <c r="H278" s="10" t="n"/>
      <c r="I278" s="10">
        <f>IF($G278="Approved",IF($H278="",IF($F278="",0,$F278),$H278),0)</f>
        <v/>
      </c>
      <c r="J278" s="9" t="n"/>
      <c r="K278" s="9" t="n"/>
      <c r="L278" s="9" t="n"/>
    </row>
    <row r="279">
      <c r="A279" s="15" t="n"/>
      <c r="B279" s="9" t="n"/>
      <c r="C279" s="9" t="n"/>
      <c r="D279" s="17" t="n"/>
      <c r="E279" s="17" t="n"/>
      <c r="F279" s="10">
        <f>IF(OR($D279="",$E279=""),"",ROUND(MOD($E279-$D279,1)*24,2))</f>
        <v/>
      </c>
      <c r="G279" s="9" t="n"/>
      <c r="H279" s="10" t="n"/>
      <c r="I279" s="10">
        <f>IF($G279="Approved",IF($H279="",IF($F279="",0,$F279),$H279),0)</f>
        <v/>
      </c>
      <c r="J279" s="9" t="n"/>
      <c r="K279" s="9" t="n"/>
      <c r="L279" s="9" t="n"/>
    </row>
    <row r="280">
      <c r="A280" s="15" t="n"/>
      <c r="B280" s="9" t="n"/>
      <c r="C280" s="9" t="n"/>
      <c r="D280" s="17" t="n"/>
      <c r="E280" s="17" t="n"/>
      <c r="F280" s="10">
        <f>IF(OR($D280="",$E280=""),"",ROUND(MOD($E280-$D280,1)*24,2))</f>
        <v/>
      </c>
      <c r="G280" s="9" t="n"/>
      <c r="H280" s="10" t="n"/>
      <c r="I280" s="10">
        <f>IF($G280="Approved",IF($H280="",IF($F280="",0,$F280),$H280),0)</f>
        <v/>
      </c>
      <c r="J280" s="9" t="n"/>
      <c r="K280" s="9" t="n"/>
      <c r="L280" s="9" t="n"/>
    </row>
    <row r="281">
      <c r="A281" s="15" t="n"/>
      <c r="B281" s="9" t="n"/>
      <c r="C281" s="9" t="n"/>
      <c r="D281" s="17" t="n"/>
      <c r="E281" s="17" t="n"/>
      <c r="F281" s="10">
        <f>IF(OR($D281="",$E281=""),"",ROUND(MOD($E281-$D281,1)*24,2))</f>
        <v/>
      </c>
      <c r="G281" s="9" t="n"/>
      <c r="H281" s="10" t="n"/>
      <c r="I281" s="10">
        <f>IF($G281="Approved",IF($H281="",IF($F281="",0,$F281),$H281),0)</f>
        <v/>
      </c>
      <c r="J281" s="9" t="n"/>
      <c r="K281" s="9" t="n"/>
      <c r="L281" s="9" t="n"/>
    </row>
    <row r="282">
      <c r="A282" s="15" t="n"/>
      <c r="B282" s="9" t="n"/>
      <c r="C282" s="9" t="n"/>
      <c r="D282" s="17" t="n"/>
      <c r="E282" s="17" t="n"/>
      <c r="F282" s="10">
        <f>IF(OR($D282="",$E282=""),"",ROUND(MOD($E282-$D282,1)*24,2))</f>
        <v/>
      </c>
      <c r="G282" s="9" t="n"/>
      <c r="H282" s="10" t="n"/>
      <c r="I282" s="10">
        <f>IF($G282="Approved",IF($H282="",IF($F282="",0,$F282),$H282),0)</f>
        <v/>
      </c>
      <c r="J282" s="9" t="n"/>
      <c r="K282" s="9" t="n"/>
      <c r="L282" s="9" t="n"/>
    </row>
    <row r="283">
      <c r="A283" s="15" t="n"/>
      <c r="B283" s="9" t="n"/>
      <c r="C283" s="9" t="n"/>
      <c r="D283" s="17" t="n"/>
      <c r="E283" s="17" t="n"/>
      <c r="F283" s="10">
        <f>IF(OR($D283="",$E283=""),"",ROUND(MOD($E283-$D283,1)*24,2))</f>
        <v/>
      </c>
      <c r="G283" s="9" t="n"/>
      <c r="H283" s="10" t="n"/>
      <c r="I283" s="10">
        <f>IF($G283="Approved",IF($H283="",IF($F283="",0,$F283),$H283),0)</f>
        <v/>
      </c>
      <c r="J283" s="9" t="n"/>
      <c r="K283" s="9" t="n"/>
      <c r="L283" s="9" t="n"/>
    </row>
    <row r="284">
      <c r="A284" s="15" t="n"/>
      <c r="B284" s="9" t="n"/>
      <c r="C284" s="9" t="n"/>
      <c r="D284" s="17" t="n"/>
      <c r="E284" s="17" t="n"/>
      <c r="F284" s="10">
        <f>IF(OR($D284="",$E284=""),"",ROUND(MOD($E284-$D284,1)*24,2))</f>
        <v/>
      </c>
      <c r="G284" s="9" t="n"/>
      <c r="H284" s="10" t="n"/>
      <c r="I284" s="10">
        <f>IF($G284="Approved",IF($H284="",IF($F284="",0,$F284),$H284),0)</f>
        <v/>
      </c>
      <c r="J284" s="9" t="n"/>
      <c r="K284" s="9" t="n"/>
      <c r="L284" s="9" t="n"/>
    </row>
    <row r="285">
      <c r="A285" s="15" t="n"/>
      <c r="B285" s="9" t="n"/>
      <c r="C285" s="9" t="n"/>
      <c r="D285" s="17" t="n"/>
      <c r="E285" s="17" t="n"/>
      <c r="F285" s="10">
        <f>IF(OR($D285="",$E285=""),"",ROUND(MOD($E285-$D285,1)*24,2))</f>
        <v/>
      </c>
      <c r="G285" s="9" t="n"/>
      <c r="H285" s="10" t="n"/>
      <c r="I285" s="10">
        <f>IF($G285="Approved",IF($H285="",IF($F285="",0,$F285),$H285),0)</f>
        <v/>
      </c>
      <c r="J285" s="9" t="n"/>
      <c r="K285" s="9" t="n"/>
      <c r="L285" s="9" t="n"/>
    </row>
    <row r="286">
      <c r="A286" s="15" t="n"/>
      <c r="B286" s="9" t="n"/>
      <c r="C286" s="9" t="n"/>
      <c r="D286" s="17" t="n"/>
      <c r="E286" s="17" t="n"/>
      <c r="F286" s="10">
        <f>IF(OR($D286="",$E286=""),"",ROUND(MOD($E286-$D286,1)*24,2))</f>
        <v/>
      </c>
      <c r="G286" s="9" t="n"/>
      <c r="H286" s="10" t="n"/>
      <c r="I286" s="10">
        <f>IF($G286="Approved",IF($H286="",IF($F286="",0,$F286),$H286),0)</f>
        <v/>
      </c>
      <c r="J286" s="9" t="n"/>
      <c r="K286" s="9" t="n"/>
      <c r="L286" s="9" t="n"/>
    </row>
    <row r="287">
      <c r="A287" s="15" t="n"/>
      <c r="B287" s="9" t="n"/>
      <c r="C287" s="9" t="n"/>
      <c r="D287" s="17" t="n"/>
      <c r="E287" s="17" t="n"/>
      <c r="F287" s="10">
        <f>IF(OR($D287="",$E287=""),"",ROUND(MOD($E287-$D287,1)*24,2))</f>
        <v/>
      </c>
      <c r="G287" s="9" t="n"/>
      <c r="H287" s="10" t="n"/>
      <c r="I287" s="10">
        <f>IF($G287="Approved",IF($H287="",IF($F287="",0,$F287),$H287),0)</f>
        <v/>
      </c>
      <c r="J287" s="9" t="n"/>
      <c r="K287" s="9" t="n"/>
      <c r="L287" s="9" t="n"/>
    </row>
    <row r="288">
      <c r="A288" s="15" t="n"/>
      <c r="B288" s="9" t="n"/>
      <c r="C288" s="9" t="n"/>
      <c r="D288" s="17" t="n"/>
      <c r="E288" s="17" t="n"/>
      <c r="F288" s="10">
        <f>IF(OR($D288="",$E288=""),"",ROUND(MOD($E288-$D288,1)*24,2))</f>
        <v/>
      </c>
      <c r="G288" s="9" t="n"/>
      <c r="H288" s="10" t="n"/>
      <c r="I288" s="10">
        <f>IF($G288="Approved",IF($H288="",IF($F288="",0,$F288),$H288),0)</f>
        <v/>
      </c>
      <c r="J288" s="9" t="n"/>
      <c r="K288" s="9" t="n"/>
      <c r="L288" s="9" t="n"/>
    </row>
    <row r="289">
      <c r="A289" s="15" t="n"/>
      <c r="B289" s="9" t="n"/>
      <c r="C289" s="9" t="n"/>
      <c r="D289" s="17" t="n"/>
      <c r="E289" s="17" t="n"/>
      <c r="F289" s="10">
        <f>IF(OR($D289="",$E289=""),"",ROUND(MOD($E289-$D289,1)*24,2))</f>
        <v/>
      </c>
      <c r="G289" s="9" t="n"/>
      <c r="H289" s="10" t="n"/>
      <c r="I289" s="10">
        <f>IF($G289="Approved",IF($H289="",IF($F289="",0,$F289),$H289),0)</f>
        <v/>
      </c>
      <c r="J289" s="9" t="n"/>
      <c r="K289" s="9" t="n"/>
      <c r="L289" s="9" t="n"/>
    </row>
    <row r="290">
      <c r="A290" s="15" t="n"/>
      <c r="B290" s="9" t="n"/>
      <c r="C290" s="9" t="n"/>
      <c r="D290" s="17" t="n"/>
      <c r="E290" s="17" t="n"/>
      <c r="F290" s="10">
        <f>IF(OR($D290="",$E290=""),"",ROUND(MOD($E290-$D290,1)*24,2))</f>
        <v/>
      </c>
      <c r="G290" s="9" t="n"/>
      <c r="H290" s="10" t="n"/>
      <c r="I290" s="10">
        <f>IF($G290="Approved",IF($H290="",IF($F290="",0,$F290),$H290),0)</f>
        <v/>
      </c>
      <c r="J290" s="9" t="n"/>
      <c r="K290" s="9" t="n"/>
      <c r="L290" s="9" t="n"/>
    </row>
    <row r="291">
      <c r="A291" s="15" t="n"/>
      <c r="B291" s="9" t="n"/>
      <c r="C291" s="9" t="n"/>
      <c r="D291" s="17" t="n"/>
      <c r="E291" s="17" t="n"/>
      <c r="F291" s="10">
        <f>IF(OR($D291="",$E291=""),"",ROUND(MOD($E291-$D291,1)*24,2))</f>
        <v/>
      </c>
      <c r="G291" s="9" t="n"/>
      <c r="H291" s="10" t="n"/>
      <c r="I291" s="10">
        <f>IF($G291="Approved",IF($H291="",IF($F291="",0,$F291),$H291),0)</f>
        <v/>
      </c>
      <c r="J291" s="9" t="n"/>
      <c r="K291" s="9" t="n"/>
      <c r="L291" s="9" t="n"/>
    </row>
    <row r="292">
      <c r="A292" s="15" t="n"/>
      <c r="B292" s="9" t="n"/>
      <c r="C292" s="9" t="n"/>
      <c r="D292" s="17" t="n"/>
      <c r="E292" s="17" t="n"/>
      <c r="F292" s="10">
        <f>IF(OR($D292="",$E292=""),"",ROUND(MOD($E292-$D292,1)*24,2))</f>
        <v/>
      </c>
      <c r="G292" s="9" t="n"/>
      <c r="H292" s="10" t="n"/>
      <c r="I292" s="10">
        <f>IF($G292="Approved",IF($H292="",IF($F292="",0,$F292),$H292),0)</f>
        <v/>
      </c>
      <c r="J292" s="9" t="n"/>
      <c r="K292" s="9" t="n"/>
      <c r="L292" s="9" t="n"/>
    </row>
    <row r="293">
      <c r="A293" s="15" t="n"/>
      <c r="B293" s="9" t="n"/>
      <c r="C293" s="9" t="n"/>
      <c r="D293" s="17" t="n"/>
      <c r="E293" s="17" t="n"/>
      <c r="F293" s="10">
        <f>IF(OR($D293="",$E293=""),"",ROUND(MOD($E293-$D293,1)*24,2))</f>
        <v/>
      </c>
      <c r="G293" s="9" t="n"/>
      <c r="H293" s="10" t="n"/>
      <c r="I293" s="10">
        <f>IF($G293="Approved",IF($H293="",IF($F293="",0,$F293),$H293),0)</f>
        <v/>
      </c>
      <c r="J293" s="9" t="n"/>
      <c r="K293" s="9" t="n"/>
      <c r="L293" s="9" t="n"/>
    </row>
    <row r="294">
      <c r="A294" s="15" t="n"/>
      <c r="B294" s="9" t="n"/>
      <c r="C294" s="9" t="n"/>
      <c r="D294" s="17" t="n"/>
      <c r="E294" s="17" t="n"/>
      <c r="F294" s="10">
        <f>IF(OR($D294="",$E294=""),"",ROUND(MOD($E294-$D294,1)*24,2))</f>
        <v/>
      </c>
      <c r="G294" s="9" t="n"/>
      <c r="H294" s="10" t="n"/>
      <c r="I294" s="10">
        <f>IF($G294="Approved",IF($H294="",IF($F294="",0,$F294),$H294),0)</f>
        <v/>
      </c>
      <c r="J294" s="9" t="n"/>
      <c r="K294" s="9" t="n"/>
      <c r="L294" s="9" t="n"/>
    </row>
    <row r="295">
      <c r="A295" s="15" t="n"/>
      <c r="B295" s="9" t="n"/>
      <c r="C295" s="9" t="n"/>
      <c r="D295" s="17" t="n"/>
      <c r="E295" s="17" t="n"/>
      <c r="F295" s="10">
        <f>IF(OR($D295="",$E295=""),"",ROUND(MOD($E295-$D295,1)*24,2))</f>
        <v/>
      </c>
      <c r="G295" s="9" t="n"/>
      <c r="H295" s="10" t="n"/>
      <c r="I295" s="10">
        <f>IF($G295="Approved",IF($H295="",IF($F295="",0,$F295),$H295),0)</f>
        <v/>
      </c>
      <c r="J295" s="9" t="n"/>
      <c r="K295" s="9" t="n"/>
      <c r="L295" s="9" t="n"/>
    </row>
    <row r="296">
      <c r="A296" s="15" t="n"/>
      <c r="B296" s="9" t="n"/>
      <c r="C296" s="9" t="n"/>
      <c r="D296" s="17" t="n"/>
      <c r="E296" s="17" t="n"/>
      <c r="F296" s="10">
        <f>IF(OR($D296="",$E296=""),"",ROUND(MOD($E296-$D296,1)*24,2))</f>
        <v/>
      </c>
      <c r="G296" s="9" t="n"/>
      <c r="H296" s="10" t="n"/>
      <c r="I296" s="10">
        <f>IF($G296="Approved",IF($H296="",IF($F296="",0,$F296),$H296),0)</f>
        <v/>
      </c>
      <c r="J296" s="9" t="n"/>
      <c r="K296" s="9" t="n"/>
      <c r="L296" s="9" t="n"/>
    </row>
    <row r="297">
      <c r="A297" s="15" t="n"/>
      <c r="B297" s="9" t="n"/>
      <c r="C297" s="9" t="n"/>
      <c r="D297" s="17" t="n"/>
      <c r="E297" s="17" t="n"/>
      <c r="F297" s="10">
        <f>IF(OR($D297="",$E297=""),"",ROUND(MOD($E297-$D297,1)*24,2))</f>
        <v/>
      </c>
      <c r="G297" s="9" t="n"/>
      <c r="H297" s="10" t="n"/>
      <c r="I297" s="10">
        <f>IF($G297="Approved",IF($H297="",IF($F297="",0,$F297),$H297),0)</f>
        <v/>
      </c>
      <c r="J297" s="9" t="n"/>
      <c r="K297" s="9" t="n"/>
      <c r="L297" s="9" t="n"/>
    </row>
    <row r="298">
      <c r="A298" s="15" t="n"/>
      <c r="B298" s="9" t="n"/>
      <c r="C298" s="9" t="n"/>
      <c r="D298" s="17" t="n"/>
      <c r="E298" s="17" t="n"/>
      <c r="F298" s="10">
        <f>IF(OR($D298="",$E298=""),"",ROUND(MOD($E298-$D298,1)*24,2))</f>
        <v/>
      </c>
      <c r="G298" s="9" t="n"/>
      <c r="H298" s="10" t="n"/>
      <c r="I298" s="10">
        <f>IF($G298="Approved",IF($H298="",IF($F298="",0,$F298),$H298),0)</f>
        <v/>
      </c>
      <c r="J298" s="9" t="n"/>
      <c r="K298" s="9" t="n"/>
      <c r="L298" s="9" t="n"/>
    </row>
    <row r="299">
      <c r="A299" s="15" t="n"/>
      <c r="B299" s="9" t="n"/>
      <c r="C299" s="9" t="n"/>
      <c r="D299" s="17" t="n"/>
      <c r="E299" s="17" t="n"/>
      <c r="F299" s="10">
        <f>IF(OR($D299="",$E299=""),"",ROUND(MOD($E299-$D299,1)*24,2))</f>
        <v/>
      </c>
      <c r="G299" s="9" t="n"/>
      <c r="H299" s="10" t="n"/>
      <c r="I299" s="10">
        <f>IF($G299="Approved",IF($H299="",IF($F299="",0,$F299),$H299),0)</f>
        <v/>
      </c>
      <c r="J299" s="9" t="n"/>
      <c r="K299" s="9" t="n"/>
      <c r="L299" s="9" t="n"/>
    </row>
    <row r="300">
      <c r="A300" s="15" t="n"/>
      <c r="B300" s="9" t="n"/>
      <c r="C300" s="9" t="n"/>
      <c r="D300" s="17" t="n"/>
      <c r="E300" s="17" t="n"/>
      <c r="F300" s="10">
        <f>IF(OR($D300="",$E300=""),"",ROUND(MOD($E300-$D300,1)*24,2))</f>
        <v/>
      </c>
      <c r="G300" s="9" t="n"/>
      <c r="H300" s="10" t="n"/>
      <c r="I300" s="10">
        <f>IF($G300="Approved",IF($H300="",IF($F300="",0,$F300),$H300),0)</f>
        <v/>
      </c>
      <c r="J300" s="9" t="n"/>
      <c r="K300" s="9" t="n"/>
      <c r="L300" s="9" t="n"/>
    </row>
    <row r="301">
      <c r="A301" s="15" t="n"/>
      <c r="B301" s="9" t="n"/>
      <c r="C301" s="9" t="n"/>
      <c r="D301" s="17" t="n"/>
      <c r="E301" s="17" t="n"/>
      <c r="F301" s="10">
        <f>IF(OR($D301="",$E301=""),"",ROUND(MOD($E301-$D301,1)*24,2))</f>
        <v/>
      </c>
      <c r="G301" s="9" t="n"/>
      <c r="H301" s="10" t="n"/>
      <c r="I301" s="10">
        <f>IF($G301="Approved",IF($H301="",IF($F301="",0,$F301),$H301),0)</f>
        <v/>
      </c>
      <c r="J301" s="9" t="n"/>
      <c r="K301" s="9" t="n"/>
      <c r="L301" s="9" t="n"/>
    </row>
    <row r="302">
      <c r="A302" s="15" t="n"/>
      <c r="B302" s="9" t="n"/>
      <c r="C302" s="9" t="n"/>
      <c r="D302" s="17" t="n"/>
      <c r="E302" s="17" t="n"/>
      <c r="F302" s="10">
        <f>IF(OR($D302="",$E302=""),"",ROUND(MOD($E302-$D302,1)*24,2))</f>
        <v/>
      </c>
      <c r="G302" s="9" t="n"/>
      <c r="H302" s="10" t="n"/>
      <c r="I302" s="10">
        <f>IF($G302="Approved",IF($H302="",IF($F302="",0,$F302),$H302),0)</f>
        <v/>
      </c>
      <c r="J302" s="9" t="n"/>
      <c r="K302" s="9" t="n"/>
      <c r="L302" s="9" t="n"/>
    </row>
    <row r="303">
      <c r="A303" s="15" t="n"/>
      <c r="B303" s="9" t="n"/>
      <c r="C303" s="9" t="n"/>
      <c r="D303" s="17" t="n"/>
      <c r="E303" s="17" t="n"/>
      <c r="F303" s="10">
        <f>IF(OR($D303="",$E303=""),"",ROUND(MOD($E303-$D303,1)*24,2))</f>
        <v/>
      </c>
      <c r="G303" s="9" t="n"/>
      <c r="H303" s="10" t="n"/>
      <c r="I303" s="10">
        <f>IF($G303="Approved",IF($H303="",IF($F303="",0,$F303),$H303),0)</f>
        <v/>
      </c>
      <c r="J303" s="9" t="n"/>
      <c r="K303" s="9" t="n"/>
      <c r="L303" s="9" t="n"/>
    </row>
    <row r="304">
      <c r="A304" s="15" t="n"/>
      <c r="B304" s="9" t="n"/>
      <c r="C304" s="9" t="n"/>
      <c r="D304" s="17" t="n"/>
      <c r="E304" s="17" t="n"/>
      <c r="F304" s="10">
        <f>IF(OR($D304="",$E304=""),"",ROUND(MOD($E304-$D304,1)*24,2))</f>
        <v/>
      </c>
      <c r="G304" s="9" t="n"/>
      <c r="H304" s="10" t="n"/>
      <c r="I304" s="10">
        <f>IF($G304="Approved",IF($H304="",IF($F304="",0,$F304),$H304),0)</f>
        <v/>
      </c>
      <c r="J304" s="9" t="n"/>
      <c r="K304" s="9" t="n"/>
      <c r="L304" s="9" t="n"/>
    </row>
    <row r="305">
      <c r="A305" s="15" t="n"/>
      <c r="B305" s="9" t="n"/>
      <c r="C305" s="9" t="n"/>
      <c r="D305" s="17" t="n"/>
      <c r="E305" s="17" t="n"/>
      <c r="F305" s="10">
        <f>IF(OR($D305="",$E305=""),"",ROUND(MOD($E305-$D305,1)*24,2))</f>
        <v/>
      </c>
      <c r="G305" s="9" t="n"/>
      <c r="H305" s="10" t="n"/>
      <c r="I305" s="10">
        <f>IF($G305="Approved",IF($H305="",IF($F305="",0,$F305),$H305),0)</f>
        <v/>
      </c>
      <c r="J305" s="9" t="n"/>
      <c r="K305" s="9" t="n"/>
      <c r="L305" s="9" t="n"/>
    </row>
    <row r="306">
      <c r="A306" s="15" t="n"/>
      <c r="B306" s="9" t="n"/>
      <c r="C306" s="9" t="n"/>
      <c r="D306" s="17" t="n"/>
      <c r="E306" s="17" t="n"/>
      <c r="F306" s="10">
        <f>IF(OR($D306="",$E306=""),"",ROUND(MOD($E306-$D306,1)*24,2))</f>
        <v/>
      </c>
      <c r="G306" s="9" t="n"/>
      <c r="H306" s="10" t="n"/>
      <c r="I306" s="10">
        <f>IF($G306="Approved",IF($H306="",IF($F306="",0,$F306),$H306),0)</f>
        <v/>
      </c>
      <c r="J306" s="9" t="n"/>
      <c r="K306" s="9" t="n"/>
      <c r="L306" s="9" t="n"/>
    </row>
    <row r="307">
      <c r="A307" s="15" t="n"/>
      <c r="B307" s="9" t="n"/>
      <c r="C307" s="9" t="n"/>
      <c r="D307" s="17" t="n"/>
      <c r="E307" s="17" t="n"/>
      <c r="F307" s="10">
        <f>IF(OR($D307="",$E307=""),"",ROUND(MOD($E307-$D307,1)*24,2))</f>
        <v/>
      </c>
      <c r="G307" s="9" t="n"/>
      <c r="H307" s="10" t="n"/>
      <c r="I307" s="10">
        <f>IF($G307="Approved",IF($H307="",IF($F307="",0,$F307),$H307),0)</f>
        <v/>
      </c>
      <c r="J307" s="9" t="n"/>
      <c r="K307" s="9" t="n"/>
      <c r="L307" s="9" t="n"/>
    </row>
    <row r="308">
      <c r="A308" s="15" t="n"/>
      <c r="B308" s="9" t="n"/>
      <c r="C308" s="9" t="n"/>
      <c r="D308" s="17" t="n"/>
      <c r="E308" s="17" t="n"/>
      <c r="F308" s="10">
        <f>IF(OR($D308="",$E308=""),"",ROUND(MOD($E308-$D308,1)*24,2))</f>
        <v/>
      </c>
      <c r="G308" s="9" t="n"/>
      <c r="H308" s="10" t="n"/>
      <c r="I308" s="10">
        <f>IF($G308="Approved",IF($H308="",IF($F308="",0,$F308),$H308),0)</f>
        <v/>
      </c>
      <c r="J308" s="9" t="n"/>
      <c r="K308" s="9" t="n"/>
      <c r="L308" s="9" t="n"/>
    </row>
    <row r="309">
      <c r="A309" s="15" t="n"/>
      <c r="B309" s="9" t="n"/>
      <c r="C309" s="9" t="n"/>
      <c r="D309" s="17" t="n"/>
      <c r="E309" s="17" t="n"/>
      <c r="F309" s="10">
        <f>IF(OR($D309="",$E309=""),"",ROUND(MOD($E309-$D309,1)*24,2))</f>
        <v/>
      </c>
      <c r="G309" s="9" t="n"/>
      <c r="H309" s="10" t="n"/>
      <c r="I309" s="10">
        <f>IF($G309="Approved",IF($H309="",IF($F309="",0,$F309),$H309),0)</f>
        <v/>
      </c>
      <c r="J309" s="9" t="n"/>
      <c r="K309" s="9" t="n"/>
      <c r="L309" s="9" t="n"/>
    </row>
    <row r="310">
      <c r="A310" s="15" t="n"/>
      <c r="B310" s="9" t="n"/>
      <c r="C310" s="9" t="n"/>
      <c r="D310" s="17" t="n"/>
      <c r="E310" s="17" t="n"/>
      <c r="F310" s="10">
        <f>IF(OR($D310="",$E310=""),"",ROUND(MOD($E310-$D310,1)*24,2))</f>
        <v/>
      </c>
      <c r="G310" s="9" t="n"/>
      <c r="H310" s="10" t="n"/>
      <c r="I310" s="10">
        <f>IF($G310="Approved",IF($H310="",IF($F310="",0,$F310),$H310),0)</f>
        <v/>
      </c>
      <c r="J310" s="9" t="n"/>
      <c r="K310" s="9" t="n"/>
      <c r="L310" s="9" t="n"/>
    </row>
    <row r="311">
      <c r="A311" s="15" t="n"/>
      <c r="B311" s="9" t="n"/>
      <c r="C311" s="9" t="n"/>
      <c r="D311" s="17" t="n"/>
      <c r="E311" s="17" t="n"/>
      <c r="F311" s="10">
        <f>IF(OR($D311="",$E311=""),"",ROUND(MOD($E311-$D311,1)*24,2))</f>
        <v/>
      </c>
      <c r="G311" s="9" t="n"/>
      <c r="H311" s="10" t="n"/>
      <c r="I311" s="10">
        <f>IF($G311="Approved",IF($H311="",IF($F311="",0,$F311),$H311),0)</f>
        <v/>
      </c>
      <c r="J311" s="9" t="n"/>
      <c r="K311" s="9" t="n"/>
      <c r="L311" s="9" t="n"/>
    </row>
    <row r="312">
      <c r="A312" s="15" t="n"/>
      <c r="B312" s="9" t="n"/>
      <c r="C312" s="9" t="n"/>
      <c r="D312" s="17" t="n"/>
      <c r="E312" s="17" t="n"/>
      <c r="F312" s="10">
        <f>IF(OR($D312="",$E312=""),"",ROUND(MOD($E312-$D312,1)*24,2))</f>
        <v/>
      </c>
      <c r="G312" s="9" t="n"/>
      <c r="H312" s="10" t="n"/>
      <c r="I312" s="10">
        <f>IF($G312="Approved",IF($H312="",IF($F312="",0,$F312),$H312),0)</f>
        <v/>
      </c>
      <c r="J312" s="9" t="n"/>
      <c r="K312" s="9" t="n"/>
      <c r="L312" s="9" t="n"/>
    </row>
    <row r="313">
      <c r="A313" s="15" t="n"/>
      <c r="B313" s="9" t="n"/>
      <c r="C313" s="9" t="n"/>
      <c r="D313" s="17" t="n"/>
      <c r="E313" s="17" t="n"/>
      <c r="F313" s="10">
        <f>IF(OR($D313="",$E313=""),"",ROUND(MOD($E313-$D313,1)*24,2))</f>
        <v/>
      </c>
      <c r="G313" s="9" t="n"/>
      <c r="H313" s="10" t="n"/>
      <c r="I313" s="10">
        <f>IF($G313="Approved",IF($H313="",IF($F313="",0,$F313),$H313),0)</f>
        <v/>
      </c>
      <c r="J313" s="9" t="n"/>
      <c r="K313" s="9" t="n"/>
      <c r="L313" s="9" t="n"/>
    </row>
    <row r="314">
      <c r="A314" s="15" t="n"/>
      <c r="B314" s="9" t="n"/>
      <c r="C314" s="9" t="n"/>
      <c r="D314" s="17" t="n"/>
      <c r="E314" s="17" t="n"/>
      <c r="F314" s="10">
        <f>IF(OR($D314="",$E314=""),"",ROUND(MOD($E314-$D314,1)*24,2))</f>
        <v/>
      </c>
      <c r="G314" s="9" t="n"/>
      <c r="H314" s="10" t="n"/>
      <c r="I314" s="10">
        <f>IF($G314="Approved",IF($H314="",IF($F314="",0,$F314),$H314),0)</f>
        <v/>
      </c>
      <c r="J314" s="9" t="n"/>
      <c r="K314" s="9" t="n"/>
      <c r="L314" s="9" t="n"/>
    </row>
    <row r="315">
      <c r="A315" s="15" t="n"/>
      <c r="B315" s="9" t="n"/>
      <c r="C315" s="9" t="n"/>
      <c r="D315" s="17" t="n"/>
      <c r="E315" s="17" t="n"/>
      <c r="F315" s="10">
        <f>IF(OR($D315="",$E315=""),"",ROUND(MOD($E315-$D315,1)*24,2))</f>
        <v/>
      </c>
      <c r="G315" s="9" t="n"/>
      <c r="H315" s="10" t="n"/>
      <c r="I315" s="10">
        <f>IF($G315="Approved",IF($H315="",IF($F315="",0,$F315),$H315),0)</f>
        <v/>
      </c>
      <c r="J315" s="9" t="n"/>
      <c r="K315" s="9" t="n"/>
      <c r="L315" s="9" t="n"/>
    </row>
    <row r="316">
      <c r="A316" s="15" t="n"/>
      <c r="B316" s="9" t="n"/>
      <c r="C316" s="9" t="n"/>
      <c r="D316" s="17" t="n"/>
      <c r="E316" s="17" t="n"/>
      <c r="F316" s="10">
        <f>IF(OR($D316="",$E316=""),"",ROUND(MOD($E316-$D316,1)*24,2))</f>
        <v/>
      </c>
      <c r="G316" s="9" t="n"/>
      <c r="H316" s="10" t="n"/>
      <c r="I316" s="10">
        <f>IF($G316="Approved",IF($H316="",IF($F316="",0,$F316),$H316),0)</f>
        <v/>
      </c>
      <c r="J316" s="9" t="n"/>
      <c r="K316" s="9" t="n"/>
      <c r="L316" s="9" t="n"/>
    </row>
    <row r="317">
      <c r="A317" s="15" t="n"/>
      <c r="B317" s="9" t="n"/>
      <c r="C317" s="9" t="n"/>
      <c r="D317" s="17" t="n"/>
      <c r="E317" s="17" t="n"/>
      <c r="F317" s="10">
        <f>IF(OR($D317="",$E317=""),"",ROUND(MOD($E317-$D317,1)*24,2))</f>
        <v/>
      </c>
      <c r="G317" s="9" t="n"/>
      <c r="H317" s="10" t="n"/>
      <c r="I317" s="10">
        <f>IF($G317="Approved",IF($H317="",IF($F317="",0,$F317),$H317),0)</f>
        <v/>
      </c>
      <c r="J317" s="9" t="n"/>
      <c r="K317" s="9" t="n"/>
      <c r="L317" s="9" t="n"/>
    </row>
    <row r="318">
      <c r="A318" s="15" t="n"/>
      <c r="B318" s="9" t="n"/>
      <c r="C318" s="9" t="n"/>
      <c r="D318" s="17" t="n"/>
      <c r="E318" s="17" t="n"/>
      <c r="F318" s="10">
        <f>IF(OR($D318="",$E318=""),"",ROUND(MOD($E318-$D318,1)*24,2))</f>
        <v/>
      </c>
      <c r="G318" s="9" t="n"/>
      <c r="H318" s="10" t="n"/>
      <c r="I318" s="10">
        <f>IF($G318="Approved",IF($H318="",IF($F318="",0,$F318),$H318),0)</f>
        <v/>
      </c>
      <c r="J318" s="9" t="n"/>
      <c r="K318" s="9" t="n"/>
      <c r="L318" s="9" t="n"/>
    </row>
    <row r="319">
      <c r="A319" s="15" t="n"/>
      <c r="B319" s="9" t="n"/>
      <c r="C319" s="9" t="n"/>
      <c r="D319" s="17" t="n"/>
      <c r="E319" s="17" t="n"/>
      <c r="F319" s="10">
        <f>IF(OR($D319="",$E319=""),"",ROUND(MOD($E319-$D319,1)*24,2))</f>
        <v/>
      </c>
      <c r="G319" s="9" t="n"/>
      <c r="H319" s="10" t="n"/>
      <c r="I319" s="10">
        <f>IF($G319="Approved",IF($H319="",IF($F319="",0,$F319),$H319),0)</f>
        <v/>
      </c>
      <c r="J319" s="9" t="n"/>
      <c r="K319" s="9" t="n"/>
      <c r="L319" s="9" t="n"/>
    </row>
    <row r="320">
      <c r="A320" s="15" t="n"/>
      <c r="B320" s="9" t="n"/>
      <c r="C320" s="9" t="n"/>
      <c r="D320" s="17" t="n"/>
      <c r="E320" s="17" t="n"/>
      <c r="F320" s="10">
        <f>IF(OR($D320="",$E320=""),"",ROUND(MOD($E320-$D320,1)*24,2))</f>
        <v/>
      </c>
      <c r="G320" s="9" t="n"/>
      <c r="H320" s="10" t="n"/>
      <c r="I320" s="10">
        <f>IF($G320="Approved",IF($H320="",IF($F320="",0,$F320),$H320),0)</f>
        <v/>
      </c>
      <c r="J320" s="9" t="n"/>
      <c r="K320" s="9" t="n"/>
      <c r="L320" s="9" t="n"/>
    </row>
    <row r="321">
      <c r="A321" s="15" t="n"/>
      <c r="B321" s="9" t="n"/>
      <c r="C321" s="9" t="n"/>
      <c r="D321" s="17" t="n"/>
      <c r="E321" s="17" t="n"/>
      <c r="F321" s="10">
        <f>IF(OR($D321="",$E321=""),"",ROUND(MOD($E321-$D321,1)*24,2))</f>
        <v/>
      </c>
      <c r="G321" s="9" t="n"/>
      <c r="H321" s="10" t="n"/>
      <c r="I321" s="10">
        <f>IF($G321="Approved",IF($H321="",IF($F321="",0,$F321),$H321),0)</f>
        <v/>
      </c>
      <c r="J321" s="9" t="n"/>
      <c r="K321" s="9" t="n"/>
      <c r="L321" s="9" t="n"/>
    </row>
    <row r="322">
      <c r="A322" s="15" t="n"/>
      <c r="B322" s="9" t="n"/>
      <c r="C322" s="9" t="n"/>
      <c r="D322" s="17" t="n"/>
      <c r="E322" s="17" t="n"/>
      <c r="F322" s="10">
        <f>IF(OR($D322="",$E322=""),"",ROUND(MOD($E322-$D322,1)*24,2))</f>
        <v/>
      </c>
      <c r="G322" s="9" t="n"/>
      <c r="H322" s="10" t="n"/>
      <c r="I322" s="10">
        <f>IF($G322="Approved",IF($H322="",IF($F322="",0,$F322),$H322),0)</f>
        <v/>
      </c>
      <c r="J322" s="9" t="n"/>
      <c r="K322" s="9" t="n"/>
      <c r="L322" s="9" t="n"/>
    </row>
    <row r="323">
      <c r="A323" s="15" t="n"/>
      <c r="B323" s="9" t="n"/>
      <c r="C323" s="9" t="n"/>
      <c r="D323" s="17" t="n"/>
      <c r="E323" s="17" t="n"/>
      <c r="F323" s="10">
        <f>IF(OR($D323="",$E323=""),"",ROUND(MOD($E323-$D323,1)*24,2))</f>
        <v/>
      </c>
      <c r="G323" s="9" t="n"/>
      <c r="H323" s="10" t="n"/>
      <c r="I323" s="10">
        <f>IF($G323="Approved",IF($H323="",IF($F323="",0,$F323),$H323),0)</f>
        <v/>
      </c>
      <c r="J323" s="9" t="n"/>
      <c r="K323" s="9" t="n"/>
      <c r="L323" s="9" t="n"/>
    </row>
    <row r="324">
      <c r="A324" s="15" t="n"/>
      <c r="B324" s="9" t="n"/>
      <c r="C324" s="9" t="n"/>
      <c r="D324" s="17" t="n"/>
      <c r="E324" s="17" t="n"/>
      <c r="F324" s="10">
        <f>IF(OR($D324="",$E324=""),"",ROUND(MOD($E324-$D324,1)*24,2))</f>
        <v/>
      </c>
      <c r="G324" s="9" t="n"/>
      <c r="H324" s="10" t="n"/>
      <c r="I324" s="10">
        <f>IF($G324="Approved",IF($H324="",IF($F324="",0,$F324),$H324),0)</f>
        <v/>
      </c>
      <c r="J324" s="9" t="n"/>
      <c r="K324" s="9" t="n"/>
      <c r="L324" s="9" t="n"/>
    </row>
    <row r="325">
      <c r="A325" s="15" t="n"/>
      <c r="B325" s="9" t="n"/>
      <c r="C325" s="9" t="n"/>
      <c r="D325" s="17" t="n"/>
      <c r="E325" s="17" t="n"/>
      <c r="F325" s="10">
        <f>IF(OR($D325="",$E325=""),"",ROUND(MOD($E325-$D325,1)*24,2))</f>
        <v/>
      </c>
      <c r="G325" s="9" t="n"/>
      <c r="H325" s="10" t="n"/>
      <c r="I325" s="10">
        <f>IF($G325="Approved",IF($H325="",IF($F325="",0,$F325),$H325),0)</f>
        <v/>
      </c>
      <c r="J325" s="9" t="n"/>
      <c r="K325" s="9" t="n"/>
      <c r="L325" s="9" t="n"/>
    </row>
    <row r="326">
      <c r="A326" s="15" t="n"/>
      <c r="B326" s="9" t="n"/>
      <c r="C326" s="9" t="n"/>
      <c r="D326" s="17" t="n"/>
      <c r="E326" s="17" t="n"/>
      <c r="F326" s="10">
        <f>IF(OR($D326="",$E326=""),"",ROUND(MOD($E326-$D326,1)*24,2))</f>
        <v/>
      </c>
      <c r="G326" s="9" t="n"/>
      <c r="H326" s="10" t="n"/>
      <c r="I326" s="10">
        <f>IF($G326="Approved",IF($H326="",IF($F326="",0,$F326),$H326),0)</f>
        <v/>
      </c>
      <c r="J326" s="9" t="n"/>
      <c r="K326" s="9" t="n"/>
      <c r="L326" s="9" t="n"/>
    </row>
    <row r="327">
      <c r="A327" s="15" t="n"/>
      <c r="B327" s="9" t="n"/>
      <c r="C327" s="9" t="n"/>
      <c r="D327" s="17" t="n"/>
      <c r="E327" s="17" t="n"/>
      <c r="F327" s="10">
        <f>IF(OR($D327="",$E327=""),"",ROUND(MOD($E327-$D327,1)*24,2))</f>
        <v/>
      </c>
      <c r="G327" s="9" t="n"/>
      <c r="H327" s="10" t="n"/>
      <c r="I327" s="10">
        <f>IF($G327="Approved",IF($H327="",IF($F327="",0,$F327),$H327),0)</f>
        <v/>
      </c>
      <c r="J327" s="9" t="n"/>
      <c r="K327" s="9" t="n"/>
      <c r="L327" s="9" t="n"/>
    </row>
    <row r="328">
      <c r="A328" s="15" t="n"/>
      <c r="B328" s="9" t="n"/>
      <c r="C328" s="9" t="n"/>
      <c r="D328" s="17" t="n"/>
      <c r="E328" s="17" t="n"/>
      <c r="F328" s="10">
        <f>IF(OR($D328="",$E328=""),"",ROUND(MOD($E328-$D328,1)*24,2))</f>
        <v/>
      </c>
      <c r="G328" s="9" t="n"/>
      <c r="H328" s="10" t="n"/>
      <c r="I328" s="10">
        <f>IF($G328="Approved",IF($H328="",IF($F328="",0,$F328),$H328),0)</f>
        <v/>
      </c>
      <c r="J328" s="9" t="n"/>
      <c r="K328" s="9" t="n"/>
      <c r="L328" s="9" t="n"/>
    </row>
    <row r="329">
      <c r="A329" s="15" t="n"/>
      <c r="B329" s="9" t="n"/>
      <c r="C329" s="9" t="n"/>
      <c r="D329" s="17" t="n"/>
      <c r="E329" s="17" t="n"/>
      <c r="F329" s="10">
        <f>IF(OR($D329="",$E329=""),"",ROUND(MOD($E329-$D329,1)*24,2))</f>
        <v/>
      </c>
      <c r="G329" s="9" t="n"/>
      <c r="H329" s="10" t="n"/>
      <c r="I329" s="10">
        <f>IF($G329="Approved",IF($H329="",IF($F329="",0,$F329),$H329),0)</f>
        <v/>
      </c>
      <c r="J329" s="9" t="n"/>
      <c r="K329" s="9" t="n"/>
      <c r="L329" s="9" t="n"/>
    </row>
    <row r="330">
      <c r="A330" s="15" t="n"/>
      <c r="B330" s="9" t="n"/>
      <c r="C330" s="9" t="n"/>
      <c r="D330" s="17" t="n"/>
      <c r="E330" s="17" t="n"/>
      <c r="F330" s="10">
        <f>IF(OR($D330="",$E330=""),"",ROUND(MOD($E330-$D330,1)*24,2))</f>
        <v/>
      </c>
      <c r="G330" s="9" t="n"/>
      <c r="H330" s="10" t="n"/>
      <c r="I330" s="10">
        <f>IF($G330="Approved",IF($H330="",IF($F330="",0,$F330),$H330),0)</f>
        <v/>
      </c>
      <c r="J330" s="9" t="n"/>
      <c r="K330" s="9" t="n"/>
      <c r="L330" s="9" t="n"/>
    </row>
    <row r="331">
      <c r="A331" s="15" t="n"/>
      <c r="B331" s="9" t="n"/>
      <c r="C331" s="9" t="n"/>
      <c r="D331" s="17" t="n"/>
      <c r="E331" s="17" t="n"/>
      <c r="F331" s="10">
        <f>IF(OR($D331="",$E331=""),"",ROUND(MOD($E331-$D331,1)*24,2))</f>
        <v/>
      </c>
      <c r="G331" s="9" t="n"/>
      <c r="H331" s="10" t="n"/>
      <c r="I331" s="10">
        <f>IF($G331="Approved",IF($H331="",IF($F331="",0,$F331),$H331),0)</f>
        <v/>
      </c>
      <c r="J331" s="9" t="n"/>
      <c r="K331" s="9" t="n"/>
      <c r="L331" s="9" t="n"/>
    </row>
    <row r="332">
      <c r="A332" s="15" t="n"/>
      <c r="B332" s="9" t="n"/>
      <c r="C332" s="9" t="n"/>
      <c r="D332" s="17" t="n"/>
      <c r="E332" s="17" t="n"/>
      <c r="F332" s="10">
        <f>IF(OR($D332="",$E332=""),"",ROUND(MOD($E332-$D332,1)*24,2))</f>
        <v/>
      </c>
      <c r="G332" s="9" t="n"/>
      <c r="H332" s="10" t="n"/>
      <c r="I332" s="10">
        <f>IF($G332="Approved",IF($H332="",IF($F332="",0,$F332),$H332),0)</f>
        <v/>
      </c>
      <c r="J332" s="9" t="n"/>
      <c r="K332" s="9" t="n"/>
      <c r="L332" s="9" t="n"/>
    </row>
    <row r="333">
      <c r="A333" s="15" t="n"/>
      <c r="B333" s="9" t="n"/>
      <c r="C333" s="9" t="n"/>
      <c r="D333" s="17" t="n"/>
      <c r="E333" s="17" t="n"/>
      <c r="F333" s="10">
        <f>IF(OR($D333="",$E333=""),"",ROUND(MOD($E333-$D333,1)*24,2))</f>
        <v/>
      </c>
      <c r="G333" s="9" t="n"/>
      <c r="H333" s="10" t="n"/>
      <c r="I333" s="10">
        <f>IF($G333="Approved",IF($H333="",IF($F333="",0,$F333),$H333),0)</f>
        <v/>
      </c>
      <c r="J333" s="9" t="n"/>
      <c r="K333" s="9" t="n"/>
      <c r="L333" s="9" t="n"/>
    </row>
    <row r="334">
      <c r="A334" s="15" t="n"/>
      <c r="B334" s="9" t="n"/>
      <c r="C334" s="9" t="n"/>
      <c r="D334" s="17" t="n"/>
      <c r="E334" s="17" t="n"/>
      <c r="F334" s="10">
        <f>IF(OR($D334="",$E334=""),"",ROUND(MOD($E334-$D334,1)*24,2))</f>
        <v/>
      </c>
      <c r="G334" s="9" t="n"/>
      <c r="H334" s="10" t="n"/>
      <c r="I334" s="10">
        <f>IF($G334="Approved",IF($H334="",IF($F334="",0,$F334),$H334),0)</f>
        <v/>
      </c>
      <c r="J334" s="9" t="n"/>
      <c r="K334" s="9" t="n"/>
      <c r="L334" s="9" t="n"/>
    </row>
    <row r="335">
      <c r="A335" s="15" t="n"/>
      <c r="B335" s="9" t="n"/>
      <c r="C335" s="9" t="n"/>
      <c r="D335" s="17" t="n"/>
      <c r="E335" s="17" t="n"/>
      <c r="F335" s="10">
        <f>IF(OR($D335="",$E335=""),"",ROUND(MOD($E335-$D335,1)*24,2))</f>
        <v/>
      </c>
      <c r="G335" s="9" t="n"/>
      <c r="H335" s="10" t="n"/>
      <c r="I335" s="10">
        <f>IF($G335="Approved",IF($H335="",IF($F335="",0,$F335),$H335),0)</f>
        <v/>
      </c>
      <c r="J335" s="9" t="n"/>
      <c r="K335" s="9" t="n"/>
      <c r="L335" s="9" t="n"/>
    </row>
    <row r="336">
      <c r="A336" s="15" t="n"/>
      <c r="B336" s="9" t="n"/>
      <c r="C336" s="9" t="n"/>
      <c r="D336" s="17" t="n"/>
      <c r="E336" s="17" t="n"/>
      <c r="F336" s="10">
        <f>IF(OR($D336="",$E336=""),"",ROUND(MOD($E336-$D336,1)*24,2))</f>
        <v/>
      </c>
      <c r="G336" s="9" t="n"/>
      <c r="H336" s="10" t="n"/>
      <c r="I336" s="10">
        <f>IF($G336="Approved",IF($H336="",IF($F336="",0,$F336),$H336),0)</f>
        <v/>
      </c>
      <c r="J336" s="9" t="n"/>
      <c r="K336" s="9" t="n"/>
      <c r="L336" s="9" t="n"/>
    </row>
    <row r="337">
      <c r="A337" s="15" t="n"/>
      <c r="B337" s="9" t="n"/>
      <c r="C337" s="9" t="n"/>
      <c r="D337" s="17" t="n"/>
      <c r="E337" s="17" t="n"/>
      <c r="F337" s="10">
        <f>IF(OR($D337="",$E337=""),"",ROUND(MOD($E337-$D337,1)*24,2))</f>
        <v/>
      </c>
      <c r="G337" s="9" t="n"/>
      <c r="H337" s="10" t="n"/>
      <c r="I337" s="10">
        <f>IF($G337="Approved",IF($H337="",IF($F337="",0,$F337),$H337),0)</f>
        <v/>
      </c>
      <c r="J337" s="9" t="n"/>
      <c r="K337" s="9" t="n"/>
      <c r="L337" s="9" t="n"/>
    </row>
    <row r="338">
      <c r="A338" s="15" t="n"/>
      <c r="B338" s="9" t="n"/>
      <c r="C338" s="9" t="n"/>
      <c r="D338" s="17" t="n"/>
      <c r="E338" s="17" t="n"/>
      <c r="F338" s="10">
        <f>IF(OR($D338="",$E338=""),"",ROUND(MOD($E338-$D338,1)*24,2))</f>
        <v/>
      </c>
      <c r="G338" s="9" t="n"/>
      <c r="H338" s="10" t="n"/>
      <c r="I338" s="10">
        <f>IF($G338="Approved",IF($H338="",IF($F338="",0,$F338),$H338),0)</f>
        <v/>
      </c>
      <c r="J338" s="9" t="n"/>
      <c r="K338" s="9" t="n"/>
      <c r="L338" s="9" t="n"/>
    </row>
    <row r="339">
      <c r="A339" s="15" t="n"/>
      <c r="B339" s="9" t="n"/>
      <c r="C339" s="9" t="n"/>
      <c r="D339" s="17" t="n"/>
      <c r="E339" s="17" t="n"/>
      <c r="F339" s="10">
        <f>IF(OR($D339="",$E339=""),"",ROUND(MOD($E339-$D339,1)*24,2))</f>
        <v/>
      </c>
      <c r="G339" s="9" t="n"/>
      <c r="H339" s="10" t="n"/>
      <c r="I339" s="10">
        <f>IF($G339="Approved",IF($H339="",IF($F339="",0,$F339),$H339),0)</f>
        <v/>
      </c>
      <c r="J339" s="9" t="n"/>
      <c r="K339" s="9" t="n"/>
      <c r="L339" s="9" t="n"/>
    </row>
    <row r="340">
      <c r="A340" s="15" t="n"/>
      <c r="B340" s="9" t="n"/>
      <c r="C340" s="9" t="n"/>
      <c r="D340" s="17" t="n"/>
      <c r="E340" s="17" t="n"/>
      <c r="F340" s="10">
        <f>IF(OR($D340="",$E340=""),"",ROUND(MOD($E340-$D340,1)*24,2))</f>
        <v/>
      </c>
      <c r="G340" s="9" t="n"/>
      <c r="H340" s="10" t="n"/>
      <c r="I340" s="10">
        <f>IF($G340="Approved",IF($H340="",IF($F340="",0,$F340),$H340),0)</f>
        <v/>
      </c>
      <c r="J340" s="9" t="n"/>
      <c r="K340" s="9" t="n"/>
      <c r="L340" s="9" t="n"/>
    </row>
    <row r="341">
      <c r="A341" s="15" t="n"/>
      <c r="B341" s="9" t="n"/>
      <c r="C341" s="9" t="n"/>
      <c r="D341" s="17" t="n"/>
      <c r="E341" s="17" t="n"/>
      <c r="F341" s="10">
        <f>IF(OR($D341="",$E341=""),"",ROUND(MOD($E341-$D341,1)*24,2))</f>
        <v/>
      </c>
      <c r="G341" s="9" t="n"/>
      <c r="H341" s="10" t="n"/>
      <c r="I341" s="10">
        <f>IF($G341="Approved",IF($H341="",IF($F341="",0,$F341),$H341),0)</f>
        <v/>
      </c>
      <c r="J341" s="9" t="n"/>
      <c r="K341" s="9" t="n"/>
      <c r="L341" s="9" t="n"/>
    </row>
    <row r="342">
      <c r="A342" s="15" t="n"/>
      <c r="B342" s="9" t="n"/>
      <c r="C342" s="9" t="n"/>
      <c r="D342" s="17" t="n"/>
      <c r="E342" s="17" t="n"/>
      <c r="F342" s="10">
        <f>IF(OR($D342="",$E342=""),"",ROUND(MOD($E342-$D342,1)*24,2))</f>
        <v/>
      </c>
      <c r="G342" s="9" t="n"/>
      <c r="H342" s="10" t="n"/>
      <c r="I342" s="10">
        <f>IF($G342="Approved",IF($H342="",IF($F342="",0,$F342),$H342),0)</f>
        <v/>
      </c>
      <c r="J342" s="9" t="n"/>
      <c r="K342" s="9" t="n"/>
      <c r="L342" s="9" t="n"/>
    </row>
    <row r="343">
      <c r="A343" s="15" t="n"/>
      <c r="B343" s="9" t="n"/>
      <c r="C343" s="9" t="n"/>
      <c r="D343" s="17" t="n"/>
      <c r="E343" s="17" t="n"/>
      <c r="F343" s="10">
        <f>IF(OR($D343="",$E343=""),"",ROUND(MOD($E343-$D343,1)*24,2))</f>
        <v/>
      </c>
      <c r="G343" s="9" t="n"/>
      <c r="H343" s="10" t="n"/>
      <c r="I343" s="10">
        <f>IF($G343="Approved",IF($H343="",IF($F343="",0,$F343),$H343),0)</f>
        <v/>
      </c>
      <c r="J343" s="9" t="n"/>
      <c r="K343" s="9" t="n"/>
      <c r="L343" s="9" t="n"/>
    </row>
    <row r="344">
      <c r="A344" s="15" t="n"/>
      <c r="B344" s="9" t="n"/>
      <c r="C344" s="9" t="n"/>
      <c r="D344" s="17" t="n"/>
      <c r="E344" s="17" t="n"/>
      <c r="F344" s="10">
        <f>IF(OR($D344="",$E344=""),"",ROUND(MOD($E344-$D344,1)*24,2))</f>
        <v/>
      </c>
      <c r="G344" s="9" t="n"/>
      <c r="H344" s="10" t="n"/>
      <c r="I344" s="10">
        <f>IF($G344="Approved",IF($H344="",IF($F344="",0,$F344),$H344),0)</f>
        <v/>
      </c>
      <c r="J344" s="9" t="n"/>
      <c r="K344" s="9" t="n"/>
      <c r="L344" s="9" t="n"/>
    </row>
    <row r="345">
      <c r="A345" s="15" t="n"/>
      <c r="B345" s="9" t="n"/>
      <c r="C345" s="9" t="n"/>
      <c r="D345" s="17" t="n"/>
      <c r="E345" s="17" t="n"/>
      <c r="F345" s="10">
        <f>IF(OR($D345="",$E345=""),"",ROUND(MOD($E345-$D345,1)*24,2))</f>
        <v/>
      </c>
      <c r="G345" s="9" t="n"/>
      <c r="H345" s="10" t="n"/>
      <c r="I345" s="10">
        <f>IF($G345="Approved",IF($H345="",IF($F345="",0,$F345),$H345),0)</f>
        <v/>
      </c>
      <c r="J345" s="9" t="n"/>
      <c r="K345" s="9" t="n"/>
      <c r="L345" s="9" t="n"/>
    </row>
    <row r="346">
      <c r="A346" s="15" t="n"/>
      <c r="B346" s="9" t="n"/>
      <c r="C346" s="9" t="n"/>
      <c r="D346" s="17" t="n"/>
      <c r="E346" s="17" t="n"/>
      <c r="F346" s="10">
        <f>IF(OR($D346="",$E346=""),"",ROUND(MOD($E346-$D346,1)*24,2))</f>
        <v/>
      </c>
      <c r="G346" s="9" t="n"/>
      <c r="H346" s="10" t="n"/>
      <c r="I346" s="10">
        <f>IF($G346="Approved",IF($H346="",IF($F346="",0,$F346),$H346),0)</f>
        <v/>
      </c>
      <c r="J346" s="9" t="n"/>
      <c r="K346" s="9" t="n"/>
      <c r="L346" s="9" t="n"/>
    </row>
    <row r="347">
      <c r="A347" s="15" t="n"/>
      <c r="B347" s="9" t="n"/>
      <c r="C347" s="9" t="n"/>
      <c r="D347" s="17" t="n"/>
      <c r="E347" s="17" t="n"/>
      <c r="F347" s="10">
        <f>IF(OR($D347="",$E347=""),"",ROUND(MOD($E347-$D347,1)*24,2))</f>
        <v/>
      </c>
      <c r="G347" s="9" t="n"/>
      <c r="H347" s="10" t="n"/>
      <c r="I347" s="10">
        <f>IF($G347="Approved",IF($H347="",IF($F347="",0,$F347),$H347),0)</f>
        <v/>
      </c>
      <c r="J347" s="9" t="n"/>
      <c r="K347" s="9" t="n"/>
      <c r="L347" s="9" t="n"/>
    </row>
    <row r="348">
      <c r="A348" s="15" t="n"/>
      <c r="B348" s="9" t="n"/>
      <c r="C348" s="9" t="n"/>
      <c r="D348" s="17" t="n"/>
      <c r="E348" s="17" t="n"/>
      <c r="F348" s="10">
        <f>IF(OR($D348="",$E348=""),"",ROUND(MOD($E348-$D348,1)*24,2))</f>
        <v/>
      </c>
      <c r="G348" s="9" t="n"/>
      <c r="H348" s="10" t="n"/>
      <c r="I348" s="10">
        <f>IF($G348="Approved",IF($H348="",IF($F348="",0,$F348),$H348),0)</f>
        <v/>
      </c>
      <c r="J348" s="9" t="n"/>
      <c r="K348" s="9" t="n"/>
      <c r="L348" s="9" t="n"/>
    </row>
    <row r="349">
      <c r="A349" s="15" t="n"/>
      <c r="B349" s="9" t="n"/>
      <c r="C349" s="9" t="n"/>
      <c r="D349" s="17" t="n"/>
      <c r="E349" s="17" t="n"/>
      <c r="F349" s="10">
        <f>IF(OR($D349="",$E349=""),"",ROUND(MOD($E349-$D349,1)*24,2))</f>
        <v/>
      </c>
      <c r="G349" s="9" t="n"/>
      <c r="H349" s="10" t="n"/>
      <c r="I349" s="10">
        <f>IF($G349="Approved",IF($H349="",IF($F349="",0,$F349),$H349),0)</f>
        <v/>
      </c>
      <c r="J349" s="9" t="n"/>
      <c r="K349" s="9" t="n"/>
      <c r="L349" s="9" t="n"/>
    </row>
    <row r="350">
      <c r="A350" s="15" t="n"/>
      <c r="B350" s="9" t="n"/>
      <c r="C350" s="9" t="n"/>
      <c r="D350" s="17" t="n"/>
      <c r="E350" s="17" t="n"/>
      <c r="F350" s="10">
        <f>IF(OR($D350="",$E350=""),"",ROUND(MOD($E350-$D350,1)*24,2))</f>
        <v/>
      </c>
      <c r="G350" s="9" t="n"/>
      <c r="H350" s="10" t="n"/>
      <c r="I350" s="10">
        <f>IF($G350="Approved",IF($H350="",IF($F350="",0,$F350),$H350),0)</f>
        <v/>
      </c>
      <c r="J350" s="9" t="n"/>
      <c r="K350" s="9" t="n"/>
      <c r="L350" s="9" t="n"/>
    </row>
    <row r="351">
      <c r="A351" s="15" t="n"/>
      <c r="B351" s="9" t="n"/>
      <c r="C351" s="9" t="n"/>
      <c r="D351" s="17" t="n"/>
      <c r="E351" s="17" t="n"/>
      <c r="F351" s="10">
        <f>IF(OR($D351="",$E351=""),"",ROUND(MOD($E351-$D351,1)*24,2))</f>
        <v/>
      </c>
      <c r="G351" s="9" t="n"/>
      <c r="H351" s="10" t="n"/>
      <c r="I351" s="10">
        <f>IF($G351="Approved",IF($H351="",IF($F351="",0,$F351),$H351),0)</f>
        <v/>
      </c>
      <c r="J351" s="9" t="n"/>
      <c r="K351" s="9" t="n"/>
      <c r="L351" s="9" t="n"/>
    </row>
    <row r="352">
      <c r="A352" s="15" t="n"/>
      <c r="B352" s="9" t="n"/>
      <c r="C352" s="9" t="n"/>
      <c r="D352" s="17" t="n"/>
      <c r="E352" s="17" t="n"/>
      <c r="F352" s="10">
        <f>IF(OR($D352="",$E352=""),"",ROUND(MOD($E352-$D352,1)*24,2))</f>
        <v/>
      </c>
      <c r="G352" s="9" t="n"/>
      <c r="H352" s="10" t="n"/>
      <c r="I352" s="10">
        <f>IF($G352="Approved",IF($H352="",IF($F352="",0,$F352),$H352),0)</f>
        <v/>
      </c>
      <c r="J352" s="9" t="n"/>
      <c r="K352" s="9" t="n"/>
      <c r="L352" s="9" t="n"/>
    </row>
    <row r="353">
      <c r="A353" s="15" t="n"/>
      <c r="B353" s="9" t="n"/>
      <c r="C353" s="9" t="n"/>
      <c r="D353" s="17" t="n"/>
      <c r="E353" s="17" t="n"/>
      <c r="F353" s="10">
        <f>IF(OR($D353="",$E353=""),"",ROUND(MOD($E353-$D353,1)*24,2))</f>
        <v/>
      </c>
      <c r="G353" s="9" t="n"/>
      <c r="H353" s="10" t="n"/>
      <c r="I353" s="10">
        <f>IF($G353="Approved",IF($H353="",IF($F353="",0,$F353),$H353),0)</f>
        <v/>
      </c>
      <c r="J353" s="9" t="n"/>
      <c r="K353" s="9" t="n"/>
      <c r="L353" s="9" t="n"/>
    </row>
    <row r="354">
      <c r="A354" s="15" t="n"/>
      <c r="B354" s="9" t="n"/>
      <c r="C354" s="9" t="n"/>
      <c r="D354" s="17" t="n"/>
      <c r="E354" s="17" t="n"/>
      <c r="F354" s="10">
        <f>IF(OR($D354="",$E354=""),"",ROUND(MOD($E354-$D354,1)*24,2))</f>
        <v/>
      </c>
      <c r="G354" s="9" t="n"/>
      <c r="H354" s="10" t="n"/>
      <c r="I354" s="10">
        <f>IF($G354="Approved",IF($H354="",IF($F354="",0,$F354),$H354),0)</f>
        <v/>
      </c>
      <c r="J354" s="9" t="n"/>
      <c r="K354" s="9" t="n"/>
      <c r="L354" s="9" t="n"/>
    </row>
    <row r="355">
      <c r="A355" s="15" t="n"/>
      <c r="B355" s="9" t="n"/>
      <c r="C355" s="9" t="n"/>
      <c r="D355" s="17" t="n"/>
      <c r="E355" s="17" t="n"/>
      <c r="F355" s="10">
        <f>IF(OR($D355="",$E355=""),"",ROUND(MOD($E355-$D355,1)*24,2))</f>
        <v/>
      </c>
      <c r="G355" s="9" t="n"/>
      <c r="H355" s="10" t="n"/>
      <c r="I355" s="10">
        <f>IF($G355="Approved",IF($H355="",IF($F355="",0,$F355),$H355),0)</f>
        <v/>
      </c>
      <c r="J355" s="9" t="n"/>
      <c r="K355" s="9" t="n"/>
      <c r="L355" s="9" t="n"/>
    </row>
    <row r="356">
      <c r="A356" s="15" t="n"/>
      <c r="B356" s="9" t="n"/>
      <c r="C356" s="9" t="n"/>
      <c r="D356" s="17" t="n"/>
      <c r="E356" s="17" t="n"/>
      <c r="F356" s="10">
        <f>IF(OR($D356="",$E356=""),"",ROUND(MOD($E356-$D356,1)*24,2))</f>
        <v/>
      </c>
      <c r="G356" s="9" t="n"/>
      <c r="H356" s="10" t="n"/>
      <c r="I356" s="10">
        <f>IF($G356="Approved",IF($H356="",IF($F356="",0,$F356),$H356),0)</f>
        <v/>
      </c>
      <c r="J356" s="9" t="n"/>
      <c r="K356" s="9" t="n"/>
      <c r="L356" s="9" t="n"/>
    </row>
    <row r="357">
      <c r="A357" s="15" t="n"/>
      <c r="B357" s="9" t="n"/>
      <c r="C357" s="9" t="n"/>
      <c r="D357" s="17" t="n"/>
      <c r="E357" s="17" t="n"/>
      <c r="F357" s="10">
        <f>IF(OR($D357="",$E357=""),"",ROUND(MOD($E357-$D357,1)*24,2))</f>
        <v/>
      </c>
      <c r="G357" s="9" t="n"/>
      <c r="H357" s="10" t="n"/>
      <c r="I357" s="10">
        <f>IF($G357="Approved",IF($H357="",IF($F357="",0,$F357),$H357),0)</f>
        <v/>
      </c>
      <c r="J357" s="9" t="n"/>
      <c r="K357" s="9" t="n"/>
      <c r="L357" s="9" t="n"/>
    </row>
    <row r="358">
      <c r="A358" s="15" t="n"/>
      <c r="B358" s="9" t="n"/>
      <c r="C358" s="9" t="n"/>
      <c r="D358" s="17" t="n"/>
      <c r="E358" s="17" t="n"/>
      <c r="F358" s="10">
        <f>IF(OR($D358="",$E358=""),"",ROUND(MOD($E358-$D358,1)*24,2))</f>
        <v/>
      </c>
      <c r="G358" s="9" t="n"/>
      <c r="H358" s="10" t="n"/>
      <c r="I358" s="10">
        <f>IF($G358="Approved",IF($H358="",IF($F358="",0,$F358),$H358),0)</f>
        <v/>
      </c>
      <c r="J358" s="9" t="n"/>
      <c r="K358" s="9" t="n"/>
      <c r="L358" s="9" t="n"/>
    </row>
    <row r="359">
      <c r="A359" s="15" t="n"/>
      <c r="B359" s="9" t="n"/>
      <c r="C359" s="9" t="n"/>
      <c r="D359" s="17" t="n"/>
      <c r="E359" s="17" t="n"/>
      <c r="F359" s="10">
        <f>IF(OR($D359="",$E359=""),"",ROUND(MOD($E359-$D359,1)*24,2))</f>
        <v/>
      </c>
      <c r="G359" s="9" t="n"/>
      <c r="H359" s="10" t="n"/>
      <c r="I359" s="10">
        <f>IF($G359="Approved",IF($H359="",IF($F359="",0,$F359),$H359),0)</f>
        <v/>
      </c>
      <c r="J359" s="9" t="n"/>
      <c r="K359" s="9" t="n"/>
      <c r="L359" s="9" t="n"/>
    </row>
    <row r="360">
      <c r="A360" s="15" t="n"/>
      <c r="B360" s="9" t="n"/>
      <c r="C360" s="9" t="n"/>
      <c r="D360" s="17" t="n"/>
      <c r="E360" s="17" t="n"/>
      <c r="F360" s="10">
        <f>IF(OR($D360="",$E360=""),"",ROUND(MOD($E360-$D360,1)*24,2))</f>
        <v/>
      </c>
      <c r="G360" s="9" t="n"/>
      <c r="H360" s="10" t="n"/>
      <c r="I360" s="10">
        <f>IF($G360="Approved",IF($H360="",IF($F360="",0,$F360),$H360),0)</f>
        <v/>
      </c>
      <c r="J360" s="9" t="n"/>
      <c r="K360" s="9" t="n"/>
      <c r="L360" s="9" t="n"/>
    </row>
    <row r="361">
      <c r="A361" s="15" t="n"/>
      <c r="B361" s="9" t="n"/>
      <c r="C361" s="9" t="n"/>
      <c r="D361" s="17" t="n"/>
      <c r="E361" s="17" t="n"/>
      <c r="F361" s="10">
        <f>IF(OR($D361="",$E361=""),"",ROUND(MOD($E361-$D361,1)*24,2))</f>
        <v/>
      </c>
      <c r="G361" s="9" t="n"/>
      <c r="H361" s="10" t="n"/>
      <c r="I361" s="10">
        <f>IF($G361="Approved",IF($H361="",IF($F361="",0,$F361),$H361),0)</f>
        <v/>
      </c>
      <c r="J361" s="9" t="n"/>
      <c r="K361" s="9" t="n"/>
      <c r="L361" s="9" t="n"/>
    </row>
    <row r="362">
      <c r="A362" s="15" t="n"/>
      <c r="B362" s="9" t="n"/>
      <c r="C362" s="9" t="n"/>
      <c r="D362" s="17" t="n"/>
      <c r="E362" s="17" t="n"/>
      <c r="F362" s="10">
        <f>IF(OR($D362="",$E362=""),"",ROUND(MOD($E362-$D362,1)*24,2))</f>
        <v/>
      </c>
      <c r="G362" s="9" t="n"/>
      <c r="H362" s="10" t="n"/>
      <c r="I362" s="10">
        <f>IF($G362="Approved",IF($H362="",IF($F362="",0,$F362),$H362),0)</f>
        <v/>
      </c>
      <c r="J362" s="9" t="n"/>
      <c r="K362" s="9" t="n"/>
      <c r="L362" s="9" t="n"/>
    </row>
    <row r="363">
      <c r="A363" s="15" t="n"/>
      <c r="B363" s="9" t="n"/>
      <c r="C363" s="9" t="n"/>
      <c r="D363" s="17" t="n"/>
      <c r="E363" s="17" t="n"/>
      <c r="F363" s="10">
        <f>IF(OR($D363="",$E363=""),"",ROUND(MOD($E363-$D363,1)*24,2))</f>
        <v/>
      </c>
      <c r="G363" s="9" t="n"/>
      <c r="H363" s="10" t="n"/>
      <c r="I363" s="10">
        <f>IF($G363="Approved",IF($H363="",IF($F363="",0,$F363),$H363),0)</f>
        <v/>
      </c>
      <c r="J363" s="9" t="n"/>
      <c r="K363" s="9" t="n"/>
      <c r="L363" s="9" t="n"/>
    </row>
    <row r="364">
      <c r="A364" s="15" t="n"/>
      <c r="B364" s="9" t="n"/>
      <c r="C364" s="9" t="n"/>
      <c r="D364" s="17" t="n"/>
      <c r="E364" s="17" t="n"/>
      <c r="F364" s="10">
        <f>IF(OR($D364="",$E364=""),"",ROUND(MOD($E364-$D364,1)*24,2))</f>
        <v/>
      </c>
      <c r="G364" s="9" t="n"/>
      <c r="H364" s="10" t="n"/>
      <c r="I364" s="10">
        <f>IF($G364="Approved",IF($H364="",IF($F364="",0,$F364),$H364),0)</f>
        <v/>
      </c>
      <c r="J364" s="9" t="n"/>
      <c r="K364" s="9" t="n"/>
      <c r="L364" s="9" t="n"/>
    </row>
    <row r="365">
      <c r="A365" s="15" t="n"/>
      <c r="B365" s="9" t="n"/>
      <c r="C365" s="9" t="n"/>
      <c r="D365" s="17" t="n"/>
      <c r="E365" s="17" t="n"/>
      <c r="F365" s="10">
        <f>IF(OR($D365="",$E365=""),"",ROUND(MOD($E365-$D365,1)*24,2))</f>
        <v/>
      </c>
      <c r="G365" s="9" t="n"/>
      <c r="H365" s="10" t="n"/>
      <c r="I365" s="10">
        <f>IF($G365="Approved",IF($H365="",IF($F365="",0,$F365),$H365),0)</f>
        <v/>
      </c>
      <c r="J365" s="9" t="n"/>
      <c r="K365" s="9" t="n"/>
      <c r="L365" s="9" t="n"/>
    </row>
    <row r="366">
      <c r="A366" s="15" t="n"/>
      <c r="B366" s="9" t="n"/>
      <c r="C366" s="9" t="n"/>
      <c r="D366" s="17" t="n"/>
      <c r="E366" s="17" t="n"/>
      <c r="F366" s="10">
        <f>IF(OR($D366="",$E366=""),"",ROUND(MOD($E366-$D366,1)*24,2))</f>
        <v/>
      </c>
      <c r="G366" s="9" t="n"/>
      <c r="H366" s="10" t="n"/>
      <c r="I366" s="10">
        <f>IF($G366="Approved",IF($H366="",IF($F366="",0,$F366),$H366),0)</f>
        <v/>
      </c>
      <c r="J366" s="9" t="n"/>
      <c r="K366" s="9" t="n"/>
      <c r="L366" s="9" t="n"/>
    </row>
    <row r="367">
      <c r="A367" s="15" t="n"/>
      <c r="B367" s="9" t="n"/>
      <c r="C367" s="9" t="n"/>
      <c r="D367" s="17" t="n"/>
      <c r="E367" s="17" t="n"/>
      <c r="F367" s="10">
        <f>IF(OR($D367="",$E367=""),"",ROUND(MOD($E367-$D367,1)*24,2))</f>
        <v/>
      </c>
      <c r="G367" s="9" t="n"/>
      <c r="H367" s="10" t="n"/>
      <c r="I367" s="10">
        <f>IF($G367="Approved",IF($H367="",IF($F367="",0,$F367),$H367),0)</f>
        <v/>
      </c>
      <c r="J367" s="9" t="n"/>
      <c r="K367" s="9" t="n"/>
      <c r="L367" s="9" t="n"/>
    </row>
    <row r="368">
      <c r="A368" s="15" t="n"/>
      <c r="B368" s="9" t="n"/>
      <c r="C368" s="9" t="n"/>
      <c r="D368" s="17" t="n"/>
      <c r="E368" s="17" t="n"/>
      <c r="F368" s="10">
        <f>IF(OR($D368="",$E368=""),"",ROUND(MOD($E368-$D368,1)*24,2))</f>
        <v/>
      </c>
      <c r="G368" s="9" t="n"/>
      <c r="H368" s="10" t="n"/>
      <c r="I368" s="10">
        <f>IF($G368="Approved",IF($H368="",IF($F368="",0,$F368),$H368),0)</f>
        <v/>
      </c>
      <c r="J368" s="9" t="n"/>
      <c r="K368" s="9" t="n"/>
      <c r="L368" s="9" t="n"/>
    </row>
    <row r="369">
      <c r="A369" s="15" t="n"/>
      <c r="B369" s="9" t="n"/>
      <c r="C369" s="9" t="n"/>
      <c r="D369" s="17" t="n"/>
      <c r="E369" s="17" t="n"/>
      <c r="F369" s="10">
        <f>IF(OR($D369="",$E369=""),"",ROUND(MOD($E369-$D369,1)*24,2))</f>
        <v/>
      </c>
      <c r="G369" s="9" t="n"/>
      <c r="H369" s="10" t="n"/>
      <c r="I369" s="10">
        <f>IF($G369="Approved",IF($H369="",IF($F369="",0,$F369),$H369),0)</f>
        <v/>
      </c>
      <c r="J369" s="9" t="n"/>
      <c r="K369" s="9" t="n"/>
      <c r="L369" s="9" t="n"/>
    </row>
    <row r="370">
      <c r="A370" s="15" t="n"/>
      <c r="B370" s="9" t="n"/>
      <c r="C370" s="9" t="n"/>
      <c r="D370" s="17" t="n"/>
      <c r="E370" s="17" t="n"/>
      <c r="F370" s="10">
        <f>IF(OR($D370="",$E370=""),"",ROUND(MOD($E370-$D370,1)*24,2))</f>
        <v/>
      </c>
      <c r="G370" s="9" t="n"/>
      <c r="H370" s="10" t="n"/>
      <c r="I370" s="10">
        <f>IF($G370="Approved",IF($H370="",IF($F370="",0,$F370),$H370),0)</f>
        <v/>
      </c>
      <c r="J370" s="9" t="n"/>
      <c r="K370" s="9" t="n"/>
      <c r="L370" s="9" t="n"/>
    </row>
    <row r="371">
      <c r="A371" s="15" t="n"/>
      <c r="B371" s="9" t="n"/>
      <c r="C371" s="9" t="n"/>
      <c r="D371" s="17" t="n"/>
      <c r="E371" s="17" t="n"/>
      <c r="F371" s="10">
        <f>IF(OR($D371="",$E371=""),"",ROUND(MOD($E371-$D371,1)*24,2))</f>
        <v/>
      </c>
      <c r="G371" s="9" t="n"/>
      <c r="H371" s="10" t="n"/>
      <c r="I371" s="10">
        <f>IF($G371="Approved",IF($H371="",IF($F371="",0,$F371),$H371),0)</f>
        <v/>
      </c>
      <c r="J371" s="9" t="n"/>
      <c r="K371" s="9" t="n"/>
      <c r="L371" s="9" t="n"/>
    </row>
    <row r="372">
      <c r="A372" s="15" t="n"/>
      <c r="B372" s="9" t="n"/>
      <c r="C372" s="9" t="n"/>
      <c r="D372" s="17" t="n"/>
      <c r="E372" s="17" t="n"/>
      <c r="F372" s="10">
        <f>IF(OR($D372="",$E372=""),"",ROUND(MOD($E372-$D372,1)*24,2))</f>
        <v/>
      </c>
      <c r="G372" s="9" t="n"/>
      <c r="H372" s="10" t="n"/>
      <c r="I372" s="10">
        <f>IF($G372="Approved",IF($H372="",IF($F372="",0,$F372),$H372),0)</f>
        <v/>
      </c>
      <c r="J372" s="9" t="n"/>
      <c r="K372" s="9" t="n"/>
      <c r="L372" s="9" t="n"/>
    </row>
    <row r="373">
      <c r="A373" s="15" t="n"/>
      <c r="B373" s="9" t="n"/>
      <c r="C373" s="9" t="n"/>
      <c r="D373" s="17" t="n"/>
      <c r="E373" s="17" t="n"/>
      <c r="F373" s="10">
        <f>IF(OR($D373="",$E373=""),"",ROUND(MOD($E373-$D373,1)*24,2))</f>
        <v/>
      </c>
      <c r="G373" s="9" t="n"/>
      <c r="H373" s="10" t="n"/>
      <c r="I373" s="10">
        <f>IF($G373="Approved",IF($H373="",IF($F373="",0,$F373),$H373),0)</f>
        <v/>
      </c>
      <c r="J373" s="9" t="n"/>
      <c r="K373" s="9" t="n"/>
      <c r="L373" s="9" t="n"/>
    </row>
    <row r="374">
      <c r="A374" s="15" t="n"/>
      <c r="B374" s="9" t="n"/>
      <c r="C374" s="9" t="n"/>
      <c r="D374" s="17" t="n"/>
      <c r="E374" s="17" t="n"/>
      <c r="F374" s="10">
        <f>IF(OR($D374="",$E374=""),"",ROUND(MOD($E374-$D374,1)*24,2))</f>
        <v/>
      </c>
      <c r="G374" s="9" t="n"/>
      <c r="H374" s="10" t="n"/>
      <c r="I374" s="10">
        <f>IF($G374="Approved",IF($H374="",IF($F374="",0,$F374),$H374),0)</f>
        <v/>
      </c>
      <c r="J374" s="9" t="n"/>
      <c r="K374" s="9" t="n"/>
      <c r="L374" s="9" t="n"/>
    </row>
    <row r="375">
      <c r="A375" s="15" t="n"/>
      <c r="B375" s="9" t="n"/>
      <c r="C375" s="9" t="n"/>
      <c r="D375" s="17" t="n"/>
      <c r="E375" s="17" t="n"/>
      <c r="F375" s="10">
        <f>IF(OR($D375="",$E375=""),"",ROUND(MOD($E375-$D375,1)*24,2))</f>
        <v/>
      </c>
      <c r="G375" s="9" t="n"/>
      <c r="H375" s="10" t="n"/>
      <c r="I375" s="10">
        <f>IF($G375="Approved",IF($H375="",IF($F375="",0,$F375),$H375),0)</f>
        <v/>
      </c>
      <c r="J375" s="9" t="n"/>
      <c r="K375" s="9" t="n"/>
      <c r="L375" s="9" t="n"/>
    </row>
    <row r="376">
      <c r="A376" s="15" t="n"/>
      <c r="B376" s="9" t="n"/>
      <c r="C376" s="9" t="n"/>
      <c r="D376" s="17" t="n"/>
      <c r="E376" s="17" t="n"/>
      <c r="F376" s="10">
        <f>IF(OR($D376="",$E376=""),"",ROUND(MOD($E376-$D376,1)*24,2))</f>
        <v/>
      </c>
      <c r="G376" s="9" t="n"/>
      <c r="H376" s="10" t="n"/>
      <c r="I376" s="10">
        <f>IF($G376="Approved",IF($H376="",IF($F376="",0,$F376),$H376),0)</f>
        <v/>
      </c>
      <c r="J376" s="9" t="n"/>
      <c r="K376" s="9" t="n"/>
      <c r="L376" s="9" t="n"/>
    </row>
    <row r="377">
      <c r="A377" s="15" t="n"/>
      <c r="B377" s="9" t="n"/>
      <c r="C377" s="9" t="n"/>
      <c r="D377" s="17" t="n"/>
      <c r="E377" s="17" t="n"/>
      <c r="F377" s="10">
        <f>IF(OR($D377="",$E377=""),"",ROUND(MOD($E377-$D377,1)*24,2))</f>
        <v/>
      </c>
      <c r="G377" s="9" t="n"/>
      <c r="H377" s="10" t="n"/>
      <c r="I377" s="10">
        <f>IF($G377="Approved",IF($H377="",IF($F377="",0,$F377),$H377),0)</f>
        <v/>
      </c>
      <c r="J377" s="9" t="n"/>
      <c r="K377" s="9" t="n"/>
      <c r="L377" s="9" t="n"/>
    </row>
    <row r="378">
      <c r="A378" s="15" t="n"/>
      <c r="B378" s="9" t="n"/>
      <c r="C378" s="9" t="n"/>
      <c r="D378" s="17" t="n"/>
      <c r="E378" s="17" t="n"/>
      <c r="F378" s="10">
        <f>IF(OR($D378="",$E378=""),"",ROUND(MOD($E378-$D378,1)*24,2))</f>
        <v/>
      </c>
      <c r="G378" s="9" t="n"/>
      <c r="H378" s="10" t="n"/>
      <c r="I378" s="10">
        <f>IF($G378="Approved",IF($H378="",IF($F378="",0,$F378),$H378),0)</f>
        <v/>
      </c>
      <c r="J378" s="9" t="n"/>
      <c r="K378" s="9" t="n"/>
      <c r="L378" s="9" t="n"/>
    </row>
    <row r="379">
      <c r="A379" s="15" t="n"/>
      <c r="B379" s="9" t="n"/>
      <c r="C379" s="9" t="n"/>
      <c r="D379" s="17" t="n"/>
      <c r="E379" s="17" t="n"/>
      <c r="F379" s="10">
        <f>IF(OR($D379="",$E379=""),"",ROUND(MOD($E379-$D379,1)*24,2))</f>
        <v/>
      </c>
      <c r="G379" s="9" t="n"/>
      <c r="H379" s="10" t="n"/>
      <c r="I379" s="10">
        <f>IF($G379="Approved",IF($H379="",IF($F379="",0,$F379),$H379),0)</f>
        <v/>
      </c>
      <c r="J379" s="9" t="n"/>
      <c r="K379" s="9" t="n"/>
      <c r="L379" s="9" t="n"/>
    </row>
    <row r="380">
      <c r="A380" s="15" t="n"/>
      <c r="B380" s="9" t="n"/>
      <c r="C380" s="9" t="n"/>
      <c r="D380" s="17" t="n"/>
      <c r="E380" s="17" t="n"/>
      <c r="F380" s="10">
        <f>IF(OR($D380="",$E380=""),"",ROUND(MOD($E380-$D380,1)*24,2))</f>
        <v/>
      </c>
      <c r="G380" s="9" t="n"/>
      <c r="H380" s="10" t="n"/>
      <c r="I380" s="10">
        <f>IF($G380="Approved",IF($H380="",IF($F380="",0,$F380),$H380),0)</f>
        <v/>
      </c>
      <c r="J380" s="9" t="n"/>
      <c r="K380" s="9" t="n"/>
      <c r="L380" s="9" t="n"/>
    </row>
    <row r="381">
      <c r="A381" s="15" t="n"/>
      <c r="B381" s="9" t="n"/>
      <c r="C381" s="9" t="n"/>
      <c r="D381" s="17" t="n"/>
      <c r="E381" s="17" t="n"/>
      <c r="F381" s="10">
        <f>IF(OR($D381="",$E381=""),"",ROUND(MOD($E381-$D381,1)*24,2))</f>
        <v/>
      </c>
      <c r="G381" s="9" t="n"/>
      <c r="H381" s="10" t="n"/>
      <c r="I381" s="10">
        <f>IF($G381="Approved",IF($H381="",IF($F381="",0,$F381),$H381),0)</f>
        <v/>
      </c>
      <c r="J381" s="9" t="n"/>
      <c r="K381" s="9" t="n"/>
      <c r="L381" s="9" t="n"/>
    </row>
    <row r="382">
      <c r="A382" s="15" t="n"/>
      <c r="B382" s="9" t="n"/>
      <c r="C382" s="9" t="n"/>
      <c r="D382" s="17" t="n"/>
      <c r="E382" s="17" t="n"/>
      <c r="F382" s="10">
        <f>IF(OR($D382="",$E382=""),"",ROUND(MOD($E382-$D382,1)*24,2))</f>
        <v/>
      </c>
      <c r="G382" s="9" t="n"/>
      <c r="H382" s="10" t="n"/>
      <c r="I382" s="10">
        <f>IF($G382="Approved",IF($H382="",IF($F382="",0,$F382),$H382),0)</f>
        <v/>
      </c>
      <c r="J382" s="9" t="n"/>
      <c r="K382" s="9" t="n"/>
      <c r="L382" s="9" t="n"/>
    </row>
    <row r="383">
      <c r="A383" s="15" t="n"/>
      <c r="B383" s="9" t="n"/>
      <c r="C383" s="9" t="n"/>
      <c r="D383" s="17" t="n"/>
      <c r="E383" s="17" t="n"/>
      <c r="F383" s="10">
        <f>IF(OR($D383="",$E383=""),"",ROUND(MOD($E383-$D383,1)*24,2))</f>
        <v/>
      </c>
      <c r="G383" s="9" t="n"/>
      <c r="H383" s="10" t="n"/>
      <c r="I383" s="10">
        <f>IF($G383="Approved",IF($H383="",IF($F383="",0,$F383),$H383),0)</f>
        <v/>
      </c>
      <c r="J383" s="9" t="n"/>
      <c r="K383" s="9" t="n"/>
      <c r="L383" s="9" t="n"/>
    </row>
    <row r="384">
      <c r="A384" s="15" t="n"/>
      <c r="B384" s="9" t="n"/>
      <c r="C384" s="9" t="n"/>
      <c r="D384" s="17" t="n"/>
      <c r="E384" s="17" t="n"/>
      <c r="F384" s="10">
        <f>IF(OR($D384="",$E384=""),"",ROUND(MOD($E384-$D384,1)*24,2))</f>
        <v/>
      </c>
      <c r="G384" s="9" t="n"/>
      <c r="H384" s="10" t="n"/>
      <c r="I384" s="10">
        <f>IF($G384="Approved",IF($H384="",IF($F384="",0,$F384),$H384),0)</f>
        <v/>
      </c>
      <c r="J384" s="9" t="n"/>
      <c r="K384" s="9" t="n"/>
      <c r="L384" s="9" t="n"/>
    </row>
    <row r="385">
      <c r="A385" s="15" t="n"/>
      <c r="B385" s="9" t="n"/>
      <c r="C385" s="9" t="n"/>
      <c r="D385" s="17" t="n"/>
      <c r="E385" s="17" t="n"/>
      <c r="F385" s="10">
        <f>IF(OR($D385="",$E385=""),"",ROUND(MOD($E385-$D385,1)*24,2))</f>
        <v/>
      </c>
      <c r="G385" s="9" t="n"/>
      <c r="H385" s="10" t="n"/>
      <c r="I385" s="10">
        <f>IF($G385="Approved",IF($H385="",IF($F385="",0,$F385),$H385),0)</f>
        <v/>
      </c>
      <c r="J385" s="9" t="n"/>
      <c r="K385" s="9" t="n"/>
      <c r="L385" s="9" t="n"/>
    </row>
    <row r="386">
      <c r="A386" s="15" t="n"/>
      <c r="B386" s="9" t="n"/>
      <c r="C386" s="9" t="n"/>
      <c r="D386" s="17" t="n"/>
      <c r="E386" s="17" t="n"/>
      <c r="F386" s="10">
        <f>IF(OR($D386="",$E386=""),"",ROUND(MOD($E386-$D386,1)*24,2))</f>
        <v/>
      </c>
      <c r="G386" s="9" t="n"/>
      <c r="H386" s="10" t="n"/>
      <c r="I386" s="10">
        <f>IF($G386="Approved",IF($H386="",IF($F386="",0,$F386),$H386),0)</f>
        <v/>
      </c>
      <c r="J386" s="9" t="n"/>
      <c r="K386" s="9" t="n"/>
      <c r="L386" s="9" t="n"/>
    </row>
    <row r="387">
      <c r="A387" s="15" t="n"/>
      <c r="B387" s="9" t="n"/>
      <c r="C387" s="9" t="n"/>
      <c r="D387" s="17" t="n"/>
      <c r="E387" s="17" t="n"/>
      <c r="F387" s="10">
        <f>IF(OR($D387="",$E387=""),"",ROUND(MOD($E387-$D387,1)*24,2))</f>
        <v/>
      </c>
      <c r="G387" s="9" t="n"/>
      <c r="H387" s="10" t="n"/>
      <c r="I387" s="10">
        <f>IF($G387="Approved",IF($H387="",IF($F387="",0,$F387),$H387),0)</f>
        <v/>
      </c>
      <c r="J387" s="9" t="n"/>
      <c r="K387" s="9" t="n"/>
      <c r="L387" s="9" t="n"/>
    </row>
    <row r="388">
      <c r="A388" s="15" t="n"/>
      <c r="B388" s="9" t="n"/>
      <c r="C388" s="9" t="n"/>
      <c r="D388" s="17" t="n"/>
      <c r="E388" s="17" t="n"/>
      <c r="F388" s="10">
        <f>IF(OR($D388="",$E388=""),"",ROUND(MOD($E388-$D388,1)*24,2))</f>
        <v/>
      </c>
      <c r="G388" s="9" t="n"/>
      <c r="H388" s="10" t="n"/>
      <c r="I388" s="10">
        <f>IF($G388="Approved",IF($H388="",IF($F388="",0,$F388),$H388),0)</f>
        <v/>
      </c>
      <c r="J388" s="9" t="n"/>
      <c r="K388" s="9" t="n"/>
      <c r="L388" s="9" t="n"/>
    </row>
    <row r="389">
      <c r="A389" s="15" t="n"/>
      <c r="B389" s="9" t="n"/>
      <c r="C389" s="9" t="n"/>
      <c r="D389" s="17" t="n"/>
      <c r="E389" s="17" t="n"/>
      <c r="F389" s="10">
        <f>IF(OR($D389="",$E389=""),"",ROUND(MOD($E389-$D389,1)*24,2))</f>
        <v/>
      </c>
      <c r="G389" s="9" t="n"/>
      <c r="H389" s="10" t="n"/>
      <c r="I389" s="10">
        <f>IF($G389="Approved",IF($H389="",IF($F389="",0,$F389),$H389),0)</f>
        <v/>
      </c>
      <c r="J389" s="9" t="n"/>
      <c r="K389" s="9" t="n"/>
      <c r="L389" s="9" t="n"/>
    </row>
    <row r="390">
      <c r="A390" s="15" t="n"/>
      <c r="B390" s="9" t="n"/>
      <c r="C390" s="9" t="n"/>
      <c r="D390" s="17" t="n"/>
      <c r="E390" s="17" t="n"/>
      <c r="F390" s="10">
        <f>IF(OR($D390="",$E390=""),"",ROUND(MOD($E390-$D390,1)*24,2))</f>
        <v/>
      </c>
      <c r="G390" s="9" t="n"/>
      <c r="H390" s="10" t="n"/>
      <c r="I390" s="10">
        <f>IF($G390="Approved",IF($H390="",IF($F390="",0,$F390),$H390),0)</f>
        <v/>
      </c>
      <c r="J390" s="9" t="n"/>
      <c r="K390" s="9" t="n"/>
      <c r="L390" s="9" t="n"/>
    </row>
    <row r="391">
      <c r="A391" s="15" t="n"/>
      <c r="B391" s="9" t="n"/>
      <c r="C391" s="9" t="n"/>
      <c r="D391" s="17" t="n"/>
      <c r="E391" s="17" t="n"/>
      <c r="F391" s="10">
        <f>IF(OR($D391="",$E391=""),"",ROUND(MOD($E391-$D391,1)*24,2))</f>
        <v/>
      </c>
      <c r="G391" s="9" t="n"/>
      <c r="H391" s="10" t="n"/>
      <c r="I391" s="10">
        <f>IF($G391="Approved",IF($H391="",IF($F391="",0,$F391),$H391),0)</f>
        <v/>
      </c>
      <c r="J391" s="9" t="n"/>
      <c r="K391" s="9" t="n"/>
      <c r="L391" s="9" t="n"/>
    </row>
    <row r="392">
      <c r="A392" s="15" t="n"/>
      <c r="B392" s="9" t="n"/>
      <c r="C392" s="9" t="n"/>
      <c r="D392" s="17" t="n"/>
      <c r="E392" s="17" t="n"/>
      <c r="F392" s="10">
        <f>IF(OR($D392="",$E392=""),"",ROUND(MOD($E392-$D392,1)*24,2))</f>
        <v/>
      </c>
      <c r="G392" s="9" t="n"/>
      <c r="H392" s="10" t="n"/>
      <c r="I392" s="10">
        <f>IF($G392="Approved",IF($H392="",IF($F392="",0,$F392),$H392),0)</f>
        <v/>
      </c>
      <c r="J392" s="9" t="n"/>
      <c r="K392" s="9" t="n"/>
      <c r="L392" s="9" t="n"/>
    </row>
    <row r="393">
      <c r="A393" s="15" t="n"/>
      <c r="B393" s="9" t="n"/>
      <c r="C393" s="9" t="n"/>
      <c r="D393" s="17" t="n"/>
      <c r="E393" s="17" t="n"/>
      <c r="F393" s="10">
        <f>IF(OR($D393="",$E393=""),"",ROUND(MOD($E393-$D393,1)*24,2))</f>
        <v/>
      </c>
      <c r="G393" s="9" t="n"/>
      <c r="H393" s="10" t="n"/>
      <c r="I393" s="10">
        <f>IF($G393="Approved",IF($H393="",IF($F393="",0,$F393),$H393),0)</f>
        <v/>
      </c>
      <c r="J393" s="9" t="n"/>
      <c r="K393" s="9" t="n"/>
      <c r="L393" s="9" t="n"/>
    </row>
    <row r="394">
      <c r="A394" s="15" t="n"/>
      <c r="B394" s="9" t="n"/>
      <c r="C394" s="9" t="n"/>
      <c r="D394" s="17" t="n"/>
      <c r="E394" s="17" t="n"/>
      <c r="F394" s="10">
        <f>IF(OR($D394="",$E394=""),"",ROUND(MOD($E394-$D394,1)*24,2))</f>
        <v/>
      </c>
      <c r="G394" s="9" t="n"/>
      <c r="H394" s="10" t="n"/>
      <c r="I394" s="10">
        <f>IF($G394="Approved",IF($H394="",IF($F394="",0,$F394),$H394),0)</f>
        <v/>
      </c>
      <c r="J394" s="9" t="n"/>
      <c r="K394" s="9" t="n"/>
      <c r="L394" s="9" t="n"/>
    </row>
    <row r="395">
      <c r="A395" s="15" t="n"/>
      <c r="B395" s="9" t="n"/>
      <c r="C395" s="9" t="n"/>
      <c r="D395" s="17" t="n"/>
      <c r="E395" s="17" t="n"/>
      <c r="F395" s="10">
        <f>IF(OR($D395="",$E395=""),"",ROUND(MOD($E395-$D395,1)*24,2))</f>
        <v/>
      </c>
      <c r="G395" s="9" t="n"/>
      <c r="H395" s="10" t="n"/>
      <c r="I395" s="10">
        <f>IF($G395="Approved",IF($H395="",IF($F395="",0,$F395),$H395),0)</f>
        <v/>
      </c>
      <c r="J395" s="9" t="n"/>
      <c r="K395" s="9" t="n"/>
      <c r="L395" s="9" t="n"/>
    </row>
    <row r="396">
      <c r="A396" s="15" t="n"/>
      <c r="B396" s="9" t="n"/>
      <c r="C396" s="9" t="n"/>
      <c r="D396" s="17" t="n"/>
      <c r="E396" s="17" t="n"/>
      <c r="F396" s="10">
        <f>IF(OR($D396="",$E396=""),"",ROUND(MOD($E396-$D396,1)*24,2))</f>
        <v/>
      </c>
      <c r="G396" s="9" t="n"/>
      <c r="H396" s="10" t="n"/>
      <c r="I396" s="10">
        <f>IF($G396="Approved",IF($H396="",IF($F396="",0,$F396),$H396),0)</f>
        <v/>
      </c>
      <c r="J396" s="9" t="n"/>
      <c r="K396" s="9" t="n"/>
      <c r="L396" s="9" t="n"/>
    </row>
    <row r="397">
      <c r="A397" s="15" t="n"/>
      <c r="B397" s="9" t="n"/>
      <c r="C397" s="9" t="n"/>
      <c r="D397" s="17" t="n"/>
      <c r="E397" s="17" t="n"/>
      <c r="F397" s="10">
        <f>IF(OR($D397="",$E397=""),"",ROUND(MOD($E397-$D397,1)*24,2))</f>
        <v/>
      </c>
      <c r="G397" s="9" t="n"/>
      <c r="H397" s="10" t="n"/>
      <c r="I397" s="10">
        <f>IF($G397="Approved",IF($H397="",IF($F397="",0,$F397),$H397),0)</f>
        <v/>
      </c>
      <c r="J397" s="9" t="n"/>
      <c r="K397" s="9" t="n"/>
      <c r="L397" s="9" t="n"/>
    </row>
    <row r="398">
      <c r="A398" s="15" t="n"/>
      <c r="B398" s="9" t="n"/>
      <c r="C398" s="9" t="n"/>
      <c r="D398" s="17" t="n"/>
      <c r="E398" s="17" t="n"/>
      <c r="F398" s="10">
        <f>IF(OR($D398="",$E398=""),"",ROUND(MOD($E398-$D398,1)*24,2))</f>
        <v/>
      </c>
      <c r="G398" s="9" t="n"/>
      <c r="H398" s="10" t="n"/>
      <c r="I398" s="10">
        <f>IF($G398="Approved",IF($H398="",IF($F398="",0,$F398),$H398),0)</f>
        <v/>
      </c>
      <c r="J398" s="9" t="n"/>
      <c r="K398" s="9" t="n"/>
      <c r="L398" s="9" t="n"/>
    </row>
    <row r="399">
      <c r="A399" s="15" t="n"/>
      <c r="B399" s="9" t="n"/>
      <c r="C399" s="9" t="n"/>
      <c r="D399" s="17" t="n"/>
      <c r="E399" s="17" t="n"/>
      <c r="F399" s="10">
        <f>IF(OR($D399="",$E399=""),"",ROUND(MOD($E399-$D399,1)*24,2))</f>
        <v/>
      </c>
      <c r="G399" s="9" t="n"/>
      <c r="H399" s="10" t="n"/>
      <c r="I399" s="10">
        <f>IF($G399="Approved",IF($H399="",IF($F399="",0,$F399),$H399),0)</f>
        <v/>
      </c>
      <c r="J399" s="9" t="n"/>
      <c r="K399" s="9" t="n"/>
      <c r="L399" s="9" t="n"/>
    </row>
    <row r="400">
      <c r="A400" s="15" t="n"/>
      <c r="B400" s="9" t="n"/>
      <c r="C400" s="9" t="n"/>
      <c r="D400" s="17" t="n"/>
      <c r="E400" s="17" t="n"/>
      <c r="F400" s="10">
        <f>IF(OR($D400="",$E400=""),"",ROUND(MOD($E400-$D400,1)*24,2))</f>
        <v/>
      </c>
      <c r="G400" s="9" t="n"/>
      <c r="H400" s="10" t="n"/>
      <c r="I400" s="10">
        <f>IF($G400="Approved",IF($H400="",IF($F400="",0,$F400),$H400),0)</f>
        <v/>
      </c>
      <c r="J400" s="9" t="n"/>
      <c r="K400" s="9" t="n"/>
      <c r="L400" s="9" t="n"/>
    </row>
    <row r="401">
      <c r="A401" s="15" t="n"/>
      <c r="B401" s="9" t="n"/>
      <c r="C401" s="9" t="n"/>
      <c r="D401" s="17" t="n"/>
      <c r="E401" s="17" t="n"/>
      <c r="F401" s="10">
        <f>IF(OR($D401="",$E401=""),"",ROUND(MOD($E401-$D401,1)*24,2))</f>
        <v/>
      </c>
      <c r="G401" s="9" t="n"/>
      <c r="H401" s="10" t="n"/>
      <c r="I401" s="10">
        <f>IF($G401="Approved",IF($H401="",IF($F401="",0,$F401),$H401),0)</f>
        <v/>
      </c>
      <c r="J401" s="9" t="n"/>
      <c r="K401" s="9" t="n"/>
      <c r="L401" s="9" t="n"/>
    </row>
    <row r="402">
      <c r="A402" s="15" t="n"/>
      <c r="B402" s="9" t="n"/>
      <c r="C402" s="9" t="n"/>
      <c r="D402" s="17" t="n"/>
      <c r="E402" s="17" t="n"/>
      <c r="F402" s="10">
        <f>IF(OR($D402="",$E402=""),"",ROUND(MOD($E402-$D402,1)*24,2))</f>
        <v/>
      </c>
      <c r="G402" s="9" t="n"/>
      <c r="H402" s="10" t="n"/>
      <c r="I402" s="10">
        <f>IF($G402="Approved",IF($H402="",IF($F402="",0,$F402),$H402),0)</f>
        <v/>
      </c>
      <c r="J402" s="9" t="n"/>
      <c r="K402" s="9" t="n"/>
      <c r="L402" s="9" t="n"/>
    </row>
    <row r="403">
      <c r="A403" s="15" t="n"/>
      <c r="B403" s="9" t="n"/>
      <c r="C403" s="9" t="n"/>
      <c r="D403" s="17" t="n"/>
      <c r="E403" s="17" t="n"/>
      <c r="F403" s="10">
        <f>IF(OR($D403="",$E403=""),"",ROUND(MOD($E403-$D403,1)*24,2))</f>
        <v/>
      </c>
      <c r="G403" s="9" t="n"/>
      <c r="H403" s="10" t="n"/>
      <c r="I403" s="10">
        <f>IF($G403="Approved",IF($H403="",IF($F403="",0,$F403),$H403),0)</f>
        <v/>
      </c>
      <c r="J403" s="9" t="n"/>
      <c r="K403" s="9" t="n"/>
      <c r="L403" s="9" t="n"/>
    </row>
    <row r="404">
      <c r="A404" s="15" t="n"/>
      <c r="B404" s="9" t="n"/>
      <c r="C404" s="9" t="n"/>
      <c r="D404" s="17" t="n"/>
      <c r="E404" s="17" t="n"/>
      <c r="F404" s="10">
        <f>IF(OR($D404="",$E404=""),"",ROUND(MOD($E404-$D404,1)*24,2))</f>
        <v/>
      </c>
      <c r="G404" s="9" t="n"/>
      <c r="H404" s="10" t="n"/>
      <c r="I404" s="10">
        <f>IF($G404="Approved",IF($H404="",IF($F404="",0,$F404),$H404),0)</f>
        <v/>
      </c>
      <c r="J404" s="9" t="n"/>
      <c r="K404" s="9" t="n"/>
      <c r="L404" s="9" t="n"/>
    </row>
    <row r="405">
      <c r="A405" s="15" t="n"/>
      <c r="B405" s="9" t="n"/>
      <c r="C405" s="9" t="n"/>
      <c r="D405" s="17" t="n"/>
      <c r="E405" s="17" t="n"/>
      <c r="F405" s="10">
        <f>IF(OR($D405="",$E405=""),"",ROUND(MOD($E405-$D405,1)*24,2))</f>
        <v/>
      </c>
      <c r="G405" s="9" t="n"/>
      <c r="H405" s="10" t="n"/>
      <c r="I405" s="10">
        <f>IF($G405="Approved",IF($H405="",IF($F405="",0,$F405),$H405),0)</f>
        <v/>
      </c>
      <c r="J405" s="9" t="n"/>
      <c r="K405" s="9" t="n"/>
      <c r="L405" s="9" t="n"/>
    </row>
    <row r="406">
      <c r="A406" s="15" t="n"/>
      <c r="B406" s="9" t="n"/>
      <c r="C406" s="9" t="n"/>
      <c r="D406" s="17" t="n"/>
      <c r="E406" s="17" t="n"/>
      <c r="F406" s="10">
        <f>IF(OR($D406="",$E406=""),"",ROUND(MOD($E406-$D406,1)*24,2))</f>
        <v/>
      </c>
      <c r="G406" s="9" t="n"/>
      <c r="H406" s="10" t="n"/>
      <c r="I406" s="10">
        <f>IF($G406="Approved",IF($H406="",IF($F406="",0,$F406),$H406),0)</f>
        <v/>
      </c>
      <c r="J406" s="9" t="n"/>
      <c r="K406" s="9" t="n"/>
      <c r="L406" s="9" t="n"/>
    </row>
    <row r="407">
      <c r="A407" s="15" t="n"/>
      <c r="B407" s="9" t="n"/>
      <c r="C407" s="9" t="n"/>
      <c r="D407" s="17" t="n"/>
      <c r="E407" s="17" t="n"/>
      <c r="F407" s="10">
        <f>IF(OR($D407="",$E407=""),"",ROUND(MOD($E407-$D407,1)*24,2))</f>
        <v/>
      </c>
      <c r="G407" s="9" t="n"/>
      <c r="H407" s="10" t="n"/>
      <c r="I407" s="10">
        <f>IF($G407="Approved",IF($H407="",IF($F407="",0,$F407),$H407),0)</f>
        <v/>
      </c>
      <c r="J407" s="9" t="n"/>
      <c r="K407" s="9" t="n"/>
      <c r="L407" s="9" t="n"/>
    </row>
    <row r="408">
      <c r="A408" s="15" t="n"/>
      <c r="B408" s="9" t="n"/>
      <c r="C408" s="9" t="n"/>
      <c r="D408" s="17" t="n"/>
      <c r="E408" s="17" t="n"/>
      <c r="F408" s="10">
        <f>IF(OR($D408="",$E408=""),"",ROUND(MOD($E408-$D408,1)*24,2))</f>
        <v/>
      </c>
      <c r="G408" s="9" t="n"/>
      <c r="H408" s="10" t="n"/>
      <c r="I408" s="10">
        <f>IF($G408="Approved",IF($H408="",IF($F408="",0,$F408),$H408),0)</f>
        <v/>
      </c>
      <c r="J408" s="9" t="n"/>
      <c r="K408" s="9" t="n"/>
      <c r="L408" s="9" t="n"/>
    </row>
    <row r="409">
      <c r="A409" s="15" t="n"/>
      <c r="B409" s="9" t="n"/>
      <c r="C409" s="9" t="n"/>
      <c r="D409" s="17" t="n"/>
      <c r="E409" s="17" t="n"/>
      <c r="F409" s="10">
        <f>IF(OR($D409="",$E409=""),"",ROUND(MOD($E409-$D409,1)*24,2))</f>
        <v/>
      </c>
      <c r="G409" s="9" t="n"/>
      <c r="H409" s="10" t="n"/>
      <c r="I409" s="10">
        <f>IF($G409="Approved",IF($H409="",IF($F409="",0,$F409),$H409),0)</f>
        <v/>
      </c>
      <c r="J409" s="9" t="n"/>
      <c r="K409" s="9" t="n"/>
      <c r="L409" s="9" t="n"/>
    </row>
    <row r="410">
      <c r="A410" s="15" t="n"/>
      <c r="B410" s="9" t="n"/>
      <c r="C410" s="9" t="n"/>
      <c r="D410" s="17" t="n"/>
      <c r="E410" s="17" t="n"/>
      <c r="F410" s="10">
        <f>IF(OR($D410="",$E410=""),"",ROUND(MOD($E410-$D410,1)*24,2))</f>
        <v/>
      </c>
      <c r="G410" s="9" t="n"/>
      <c r="H410" s="10" t="n"/>
      <c r="I410" s="10">
        <f>IF($G410="Approved",IF($H410="",IF($F410="",0,$F410),$H410),0)</f>
        <v/>
      </c>
      <c r="J410" s="9" t="n"/>
      <c r="K410" s="9" t="n"/>
      <c r="L410" s="9" t="n"/>
    </row>
    <row r="411">
      <c r="A411" s="15" t="n"/>
      <c r="B411" s="9" t="n"/>
      <c r="C411" s="9" t="n"/>
      <c r="D411" s="17" t="n"/>
      <c r="E411" s="17" t="n"/>
      <c r="F411" s="10">
        <f>IF(OR($D411="",$E411=""),"",ROUND(MOD($E411-$D411,1)*24,2))</f>
        <v/>
      </c>
      <c r="G411" s="9" t="n"/>
      <c r="H411" s="10" t="n"/>
      <c r="I411" s="10">
        <f>IF($G411="Approved",IF($H411="",IF($F411="",0,$F411),$H411),0)</f>
        <v/>
      </c>
      <c r="J411" s="9" t="n"/>
      <c r="K411" s="9" t="n"/>
      <c r="L411" s="9" t="n"/>
    </row>
    <row r="412">
      <c r="A412" s="15" t="n"/>
      <c r="B412" s="9" t="n"/>
      <c r="C412" s="9" t="n"/>
      <c r="D412" s="17" t="n"/>
      <c r="E412" s="17" t="n"/>
      <c r="F412" s="10">
        <f>IF(OR($D412="",$E412=""),"",ROUND(MOD($E412-$D412,1)*24,2))</f>
        <v/>
      </c>
      <c r="G412" s="9" t="n"/>
      <c r="H412" s="10" t="n"/>
      <c r="I412" s="10">
        <f>IF($G412="Approved",IF($H412="",IF($F412="",0,$F412),$H412),0)</f>
        <v/>
      </c>
      <c r="J412" s="9" t="n"/>
      <c r="K412" s="9" t="n"/>
      <c r="L412" s="9" t="n"/>
    </row>
    <row r="413">
      <c r="A413" s="15" t="n"/>
      <c r="B413" s="9" t="n"/>
      <c r="C413" s="9" t="n"/>
      <c r="D413" s="17" t="n"/>
      <c r="E413" s="17" t="n"/>
      <c r="F413" s="10">
        <f>IF(OR($D413="",$E413=""),"",ROUND(MOD($E413-$D413,1)*24,2))</f>
        <v/>
      </c>
      <c r="G413" s="9" t="n"/>
      <c r="H413" s="10" t="n"/>
      <c r="I413" s="10">
        <f>IF($G413="Approved",IF($H413="",IF($F413="",0,$F413),$H413),0)</f>
        <v/>
      </c>
      <c r="J413" s="9" t="n"/>
      <c r="K413" s="9" t="n"/>
      <c r="L413" s="9" t="n"/>
    </row>
    <row r="414">
      <c r="A414" s="15" t="n"/>
      <c r="B414" s="9" t="n"/>
      <c r="C414" s="9" t="n"/>
      <c r="D414" s="17" t="n"/>
      <c r="E414" s="17" t="n"/>
      <c r="F414" s="10">
        <f>IF(OR($D414="",$E414=""),"",ROUND(MOD($E414-$D414,1)*24,2))</f>
        <v/>
      </c>
      <c r="G414" s="9" t="n"/>
      <c r="H414" s="10" t="n"/>
      <c r="I414" s="10">
        <f>IF($G414="Approved",IF($H414="",IF($F414="",0,$F414),$H414),0)</f>
        <v/>
      </c>
      <c r="J414" s="9" t="n"/>
      <c r="K414" s="9" t="n"/>
      <c r="L414" s="9" t="n"/>
    </row>
    <row r="415">
      <c r="A415" s="15" t="n"/>
      <c r="B415" s="9" t="n"/>
      <c r="C415" s="9" t="n"/>
      <c r="D415" s="17" t="n"/>
      <c r="E415" s="17" t="n"/>
      <c r="F415" s="10">
        <f>IF(OR($D415="",$E415=""),"",ROUND(MOD($E415-$D415,1)*24,2))</f>
        <v/>
      </c>
      <c r="G415" s="9" t="n"/>
      <c r="H415" s="10" t="n"/>
      <c r="I415" s="10">
        <f>IF($G415="Approved",IF($H415="",IF($F415="",0,$F415),$H415),0)</f>
        <v/>
      </c>
      <c r="J415" s="9" t="n"/>
      <c r="K415" s="9" t="n"/>
      <c r="L415" s="9" t="n"/>
    </row>
    <row r="416">
      <c r="A416" s="15" t="n"/>
      <c r="B416" s="9" t="n"/>
      <c r="C416" s="9" t="n"/>
      <c r="D416" s="17" t="n"/>
      <c r="E416" s="17" t="n"/>
      <c r="F416" s="10">
        <f>IF(OR($D416="",$E416=""),"",ROUND(MOD($E416-$D416,1)*24,2))</f>
        <v/>
      </c>
      <c r="G416" s="9" t="n"/>
      <c r="H416" s="10" t="n"/>
      <c r="I416" s="10">
        <f>IF($G416="Approved",IF($H416="",IF($F416="",0,$F416),$H416),0)</f>
        <v/>
      </c>
      <c r="J416" s="9" t="n"/>
      <c r="K416" s="9" t="n"/>
      <c r="L416" s="9" t="n"/>
    </row>
    <row r="417">
      <c r="A417" s="15" t="n"/>
      <c r="B417" s="9" t="n"/>
      <c r="C417" s="9" t="n"/>
      <c r="D417" s="17" t="n"/>
      <c r="E417" s="17" t="n"/>
      <c r="F417" s="10">
        <f>IF(OR($D417="",$E417=""),"",ROUND(MOD($E417-$D417,1)*24,2))</f>
        <v/>
      </c>
      <c r="G417" s="9" t="n"/>
      <c r="H417" s="10" t="n"/>
      <c r="I417" s="10">
        <f>IF($G417="Approved",IF($H417="",IF($F417="",0,$F417),$H417),0)</f>
        <v/>
      </c>
      <c r="J417" s="9" t="n"/>
      <c r="K417" s="9" t="n"/>
      <c r="L417" s="9" t="n"/>
    </row>
    <row r="418">
      <c r="A418" s="15" t="n"/>
      <c r="B418" s="9" t="n"/>
      <c r="C418" s="9" t="n"/>
      <c r="D418" s="17" t="n"/>
      <c r="E418" s="17" t="n"/>
      <c r="F418" s="10">
        <f>IF(OR($D418="",$E418=""),"",ROUND(MOD($E418-$D418,1)*24,2))</f>
        <v/>
      </c>
      <c r="G418" s="9" t="n"/>
      <c r="H418" s="10" t="n"/>
      <c r="I418" s="10">
        <f>IF($G418="Approved",IF($H418="",IF($F418="",0,$F418),$H418),0)</f>
        <v/>
      </c>
      <c r="J418" s="9" t="n"/>
      <c r="K418" s="9" t="n"/>
      <c r="L418" s="9" t="n"/>
    </row>
    <row r="419">
      <c r="A419" s="15" t="n"/>
      <c r="B419" s="9" t="n"/>
      <c r="C419" s="9" t="n"/>
      <c r="D419" s="17" t="n"/>
      <c r="E419" s="17" t="n"/>
      <c r="F419" s="10">
        <f>IF(OR($D419="",$E419=""),"",ROUND(MOD($E419-$D419,1)*24,2))</f>
        <v/>
      </c>
      <c r="G419" s="9" t="n"/>
      <c r="H419" s="10" t="n"/>
      <c r="I419" s="10">
        <f>IF($G419="Approved",IF($H419="",IF($F419="",0,$F419),$H419),0)</f>
        <v/>
      </c>
      <c r="J419" s="9" t="n"/>
      <c r="K419" s="9" t="n"/>
      <c r="L419" s="9" t="n"/>
    </row>
    <row r="420">
      <c r="A420" s="15" t="n"/>
      <c r="B420" s="9" t="n"/>
      <c r="C420" s="9" t="n"/>
      <c r="D420" s="17" t="n"/>
      <c r="E420" s="17" t="n"/>
      <c r="F420" s="10">
        <f>IF(OR($D420="",$E420=""),"",ROUND(MOD($E420-$D420,1)*24,2))</f>
        <v/>
      </c>
      <c r="G420" s="9" t="n"/>
      <c r="H420" s="10" t="n"/>
      <c r="I420" s="10">
        <f>IF($G420="Approved",IF($H420="",IF($F420="",0,$F420),$H420),0)</f>
        <v/>
      </c>
      <c r="J420" s="9" t="n"/>
      <c r="K420" s="9" t="n"/>
      <c r="L420" s="9" t="n"/>
    </row>
    <row r="421">
      <c r="A421" s="15" t="n"/>
      <c r="B421" s="9" t="n"/>
      <c r="C421" s="9" t="n"/>
      <c r="D421" s="17" t="n"/>
      <c r="E421" s="17" t="n"/>
      <c r="F421" s="10">
        <f>IF(OR($D421="",$E421=""),"",ROUND(MOD($E421-$D421,1)*24,2))</f>
        <v/>
      </c>
      <c r="G421" s="9" t="n"/>
      <c r="H421" s="10" t="n"/>
      <c r="I421" s="10">
        <f>IF($G421="Approved",IF($H421="",IF($F421="",0,$F421),$H421),0)</f>
        <v/>
      </c>
      <c r="J421" s="9" t="n"/>
      <c r="K421" s="9" t="n"/>
      <c r="L421" s="9" t="n"/>
    </row>
    <row r="422">
      <c r="A422" s="15" t="n"/>
      <c r="B422" s="9" t="n"/>
      <c r="C422" s="9" t="n"/>
      <c r="D422" s="17" t="n"/>
      <c r="E422" s="17" t="n"/>
      <c r="F422" s="10">
        <f>IF(OR($D422="",$E422=""),"",ROUND(MOD($E422-$D422,1)*24,2))</f>
        <v/>
      </c>
      <c r="G422" s="9" t="n"/>
      <c r="H422" s="10" t="n"/>
      <c r="I422" s="10">
        <f>IF($G422="Approved",IF($H422="",IF($F422="",0,$F422),$H422),0)</f>
        <v/>
      </c>
      <c r="J422" s="9" t="n"/>
      <c r="K422" s="9" t="n"/>
      <c r="L422" s="9" t="n"/>
    </row>
    <row r="423">
      <c r="A423" s="15" t="n"/>
      <c r="B423" s="9" t="n"/>
      <c r="C423" s="9" t="n"/>
      <c r="D423" s="17" t="n"/>
      <c r="E423" s="17" t="n"/>
      <c r="F423" s="10">
        <f>IF(OR($D423="",$E423=""),"",ROUND(MOD($E423-$D423,1)*24,2))</f>
        <v/>
      </c>
      <c r="G423" s="9" t="n"/>
      <c r="H423" s="10" t="n"/>
      <c r="I423" s="10">
        <f>IF($G423="Approved",IF($H423="",IF($F423="",0,$F423),$H423),0)</f>
        <v/>
      </c>
      <c r="J423" s="9" t="n"/>
      <c r="K423" s="9" t="n"/>
      <c r="L423" s="9" t="n"/>
    </row>
    <row r="424">
      <c r="A424" s="15" t="n"/>
      <c r="B424" s="9" t="n"/>
      <c r="C424" s="9" t="n"/>
      <c r="D424" s="17" t="n"/>
      <c r="E424" s="17" t="n"/>
      <c r="F424" s="10">
        <f>IF(OR($D424="",$E424=""),"",ROUND(MOD($E424-$D424,1)*24,2))</f>
        <v/>
      </c>
      <c r="G424" s="9" t="n"/>
      <c r="H424" s="10" t="n"/>
      <c r="I424" s="10">
        <f>IF($G424="Approved",IF($H424="",IF($F424="",0,$F424),$H424),0)</f>
        <v/>
      </c>
      <c r="J424" s="9" t="n"/>
      <c r="K424" s="9" t="n"/>
      <c r="L424" s="9" t="n"/>
    </row>
    <row r="425">
      <c r="A425" s="15" t="n"/>
      <c r="B425" s="9" t="n"/>
      <c r="C425" s="9" t="n"/>
      <c r="D425" s="17" t="n"/>
      <c r="E425" s="17" t="n"/>
      <c r="F425" s="10">
        <f>IF(OR($D425="",$E425=""),"",ROUND(MOD($E425-$D425,1)*24,2))</f>
        <v/>
      </c>
      <c r="G425" s="9" t="n"/>
      <c r="H425" s="10" t="n"/>
      <c r="I425" s="10">
        <f>IF($G425="Approved",IF($H425="",IF($F425="",0,$F425),$H425),0)</f>
        <v/>
      </c>
      <c r="J425" s="9" t="n"/>
      <c r="K425" s="9" t="n"/>
      <c r="L425" s="9" t="n"/>
    </row>
    <row r="426">
      <c r="A426" s="15" t="n"/>
      <c r="B426" s="9" t="n"/>
      <c r="C426" s="9" t="n"/>
      <c r="D426" s="17" t="n"/>
      <c r="E426" s="17" t="n"/>
      <c r="F426" s="10">
        <f>IF(OR($D426="",$E426=""),"",ROUND(MOD($E426-$D426,1)*24,2))</f>
        <v/>
      </c>
      <c r="G426" s="9" t="n"/>
      <c r="H426" s="10" t="n"/>
      <c r="I426" s="10">
        <f>IF($G426="Approved",IF($H426="",IF($F426="",0,$F426),$H426),0)</f>
        <v/>
      </c>
      <c r="J426" s="9" t="n"/>
      <c r="K426" s="9" t="n"/>
      <c r="L426" s="9" t="n"/>
    </row>
    <row r="427">
      <c r="A427" s="15" t="n"/>
      <c r="B427" s="9" t="n"/>
      <c r="C427" s="9" t="n"/>
      <c r="D427" s="17" t="n"/>
      <c r="E427" s="17" t="n"/>
      <c r="F427" s="10">
        <f>IF(OR($D427="",$E427=""),"",ROUND(MOD($E427-$D427,1)*24,2))</f>
        <v/>
      </c>
      <c r="G427" s="9" t="n"/>
      <c r="H427" s="10" t="n"/>
      <c r="I427" s="10">
        <f>IF($G427="Approved",IF($H427="",IF($F427="",0,$F427),$H427),0)</f>
        <v/>
      </c>
      <c r="J427" s="9" t="n"/>
      <c r="K427" s="9" t="n"/>
      <c r="L427" s="9" t="n"/>
    </row>
    <row r="428">
      <c r="A428" s="15" t="n"/>
      <c r="B428" s="9" t="n"/>
      <c r="C428" s="9" t="n"/>
      <c r="D428" s="17" t="n"/>
      <c r="E428" s="17" t="n"/>
      <c r="F428" s="10">
        <f>IF(OR($D428="",$E428=""),"",ROUND(MOD($E428-$D428,1)*24,2))</f>
        <v/>
      </c>
      <c r="G428" s="9" t="n"/>
      <c r="H428" s="10" t="n"/>
      <c r="I428" s="10">
        <f>IF($G428="Approved",IF($H428="",IF($F428="",0,$F428),$H428),0)</f>
        <v/>
      </c>
      <c r="J428" s="9" t="n"/>
      <c r="K428" s="9" t="n"/>
      <c r="L428" s="9" t="n"/>
    </row>
    <row r="429">
      <c r="A429" s="15" t="n"/>
      <c r="B429" s="9" t="n"/>
      <c r="C429" s="9" t="n"/>
      <c r="D429" s="17" t="n"/>
      <c r="E429" s="17" t="n"/>
      <c r="F429" s="10">
        <f>IF(OR($D429="",$E429=""),"",ROUND(MOD($E429-$D429,1)*24,2))</f>
        <v/>
      </c>
      <c r="G429" s="9" t="n"/>
      <c r="H429" s="10" t="n"/>
      <c r="I429" s="10">
        <f>IF($G429="Approved",IF($H429="",IF($F429="",0,$F429),$H429),0)</f>
        <v/>
      </c>
      <c r="J429" s="9" t="n"/>
      <c r="K429" s="9" t="n"/>
      <c r="L429" s="9" t="n"/>
    </row>
    <row r="430">
      <c r="A430" s="15" t="n"/>
      <c r="B430" s="9" t="n"/>
      <c r="C430" s="9" t="n"/>
      <c r="D430" s="17" t="n"/>
      <c r="E430" s="17" t="n"/>
      <c r="F430" s="10">
        <f>IF(OR($D430="",$E430=""),"",ROUND(MOD($E430-$D430,1)*24,2))</f>
        <v/>
      </c>
      <c r="G430" s="9" t="n"/>
      <c r="H430" s="10" t="n"/>
      <c r="I430" s="10">
        <f>IF($G430="Approved",IF($H430="",IF($F430="",0,$F430),$H430),0)</f>
        <v/>
      </c>
      <c r="J430" s="9" t="n"/>
      <c r="K430" s="9" t="n"/>
      <c r="L430" s="9" t="n"/>
    </row>
    <row r="431">
      <c r="A431" s="15" t="n"/>
      <c r="B431" s="9" t="n"/>
      <c r="C431" s="9" t="n"/>
      <c r="D431" s="17" t="n"/>
      <c r="E431" s="17" t="n"/>
      <c r="F431" s="10">
        <f>IF(OR($D431="",$E431=""),"",ROUND(MOD($E431-$D431,1)*24,2))</f>
        <v/>
      </c>
      <c r="G431" s="9" t="n"/>
      <c r="H431" s="10" t="n"/>
      <c r="I431" s="10">
        <f>IF($G431="Approved",IF($H431="",IF($F431="",0,$F431),$H431),0)</f>
        <v/>
      </c>
      <c r="J431" s="9" t="n"/>
      <c r="K431" s="9" t="n"/>
      <c r="L431" s="9" t="n"/>
    </row>
    <row r="432">
      <c r="A432" s="15" t="n"/>
      <c r="B432" s="9" t="n"/>
      <c r="C432" s="9" t="n"/>
      <c r="D432" s="17" t="n"/>
      <c r="E432" s="17" t="n"/>
      <c r="F432" s="10">
        <f>IF(OR($D432="",$E432=""),"",ROUND(MOD($E432-$D432,1)*24,2))</f>
        <v/>
      </c>
      <c r="G432" s="9" t="n"/>
      <c r="H432" s="10" t="n"/>
      <c r="I432" s="10">
        <f>IF($G432="Approved",IF($H432="",IF($F432="",0,$F432),$H432),0)</f>
        <v/>
      </c>
      <c r="J432" s="9" t="n"/>
      <c r="K432" s="9" t="n"/>
      <c r="L432" s="9" t="n"/>
    </row>
    <row r="433">
      <c r="A433" s="15" t="n"/>
      <c r="B433" s="9" t="n"/>
      <c r="C433" s="9" t="n"/>
      <c r="D433" s="17" t="n"/>
      <c r="E433" s="17" t="n"/>
      <c r="F433" s="10">
        <f>IF(OR($D433="",$E433=""),"",ROUND(MOD($E433-$D433,1)*24,2))</f>
        <v/>
      </c>
      <c r="G433" s="9" t="n"/>
      <c r="H433" s="10" t="n"/>
      <c r="I433" s="10">
        <f>IF($G433="Approved",IF($H433="",IF($F433="",0,$F433),$H433),0)</f>
        <v/>
      </c>
      <c r="J433" s="9" t="n"/>
      <c r="K433" s="9" t="n"/>
      <c r="L433" s="9" t="n"/>
    </row>
    <row r="434">
      <c r="A434" s="15" t="n"/>
      <c r="B434" s="9" t="n"/>
      <c r="C434" s="9" t="n"/>
      <c r="D434" s="17" t="n"/>
      <c r="E434" s="17" t="n"/>
      <c r="F434" s="10">
        <f>IF(OR($D434="",$E434=""),"",ROUND(MOD($E434-$D434,1)*24,2))</f>
        <v/>
      </c>
      <c r="G434" s="9" t="n"/>
      <c r="H434" s="10" t="n"/>
      <c r="I434" s="10">
        <f>IF($G434="Approved",IF($H434="",IF($F434="",0,$F434),$H434),0)</f>
        <v/>
      </c>
      <c r="J434" s="9" t="n"/>
      <c r="K434" s="9" t="n"/>
      <c r="L434" s="9" t="n"/>
    </row>
    <row r="435">
      <c r="A435" s="15" t="n"/>
      <c r="B435" s="9" t="n"/>
      <c r="C435" s="9" t="n"/>
      <c r="D435" s="17" t="n"/>
      <c r="E435" s="17" t="n"/>
      <c r="F435" s="10">
        <f>IF(OR($D435="",$E435=""),"",ROUND(MOD($E435-$D435,1)*24,2))</f>
        <v/>
      </c>
      <c r="G435" s="9" t="n"/>
      <c r="H435" s="10" t="n"/>
      <c r="I435" s="10">
        <f>IF($G435="Approved",IF($H435="",IF($F435="",0,$F435),$H435),0)</f>
        <v/>
      </c>
      <c r="J435" s="9" t="n"/>
      <c r="K435" s="9" t="n"/>
      <c r="L435" s="9" t="n"/>
    </row>
    <row r="436">
      <c r="A436" s="15" t="n"/>
      <c r="B436" s="9" t="n"/>
      <c r="C436" s="9" t="n"/>
      <c r="D436" s="17" t="n"/>
      <c r="E436" s="17" t="n"/>
      <c r="F436" s="10">
        <f>IF(OR($D436="",$E436=""),"",ROUND(MOD($E436-$D436,1)*24,2))</f>
        <v/>
      </c>
      <c r="G436" s="9" t="n"/>
      <c r="H436" s="10" t="n"/>
      <c r="I436" s="10">
        <f>IF($G436="Approved",IF($H436="",IF($F436="",0,$F436),$H436),0)</f>
        <v/>
      </c>
      <c r="J436" s="9" t="n"/>
      <c r="K436" s="9" t="n"/>
      <c r="L436" s="9" t="n"/>
    </row>
    <row r="437">
      <c r="A437" s="15" t="n"/>
      <c r="B437" s="9" t="n"/>
      <c r="C437" s="9" t="n"/>
      <c r="D437" s="17" t="n"/>
      <c r="E437" s="17" t="n"/>
      <c r="F437" s="10">
        <f>IF(OR($D437="",$E437=""),"",ROUND(MOD($E437-$D437,1)*24,2))</f>
        <v/>
      </c>
      <c r="G437" s="9" t="n"/>
      <c r="H437" s="10" t="n"/>
      <c r="I437" s="10">
        <f>IF($G437="Approved",IF($H437="",IF($F437="",0,$F437),$H437),0)</f>
        <v/>
      </c>
      <c r="J437" s="9" t="n"/>
      <c r="K437" s="9" t="n"/>
      <c r="L437" s="9" t="n"/>
    </row>
    <row r="438">
      <c r="A438" s="15" t="n"/>
      <c r="B438" s="9" t="n"/>
      <c r="C438" s="9" t="n"/>
      <c r="D438" s="17" t="n"/>
      <c r="E438" s="17" t="n"/>
      <c r="F438" s="10">
        <f>IF(OR($D438="",$E438=""),"",ROUND(MOD($E438-$D438,1)*24,2))</f>
        <v/>
      </c>
      <c r="G438" s="9" t="n"/>
      <c r="H438" s="10" t="n"/>
      <c r="I438" s="10">
        <f>IF($G438="Approved",IF($H438="",IF($F438="",0,$F438),$H438),0)</f>
        <v/>
      </c>
      <c r="J438" s="9" t="n"/>
      <c r="K438" s="9" t="n"/>
      <c r="L438" s="9" t="n"/>
    </row>
    <row r="439">
      <c r="A439" s="15" t="n"/>
      <c r="B439" s="9" t="n"/>
      <c r="C439" s="9" t="n"/>
      <c r="D439" s="17" t="n"/>
      <c r="E439" s="17" t="n"/>
      <c r="F439" s="10">
        <f>IF(OR($D439="",$E439=""),"",ROUND(MOD($E439-$D439,1)*24,2))</f>
        <v/>
      </c>
      <c r="G439" s="9" t="n"/>
      <c r="H439" s="10" t="n"/>
      <c r="I439" s="10">
        <f>IF($G439="Approved",IF($H439="",IF($F439="",0,$F439),$H439),0)</f>
        <v/>
      </c>
      <c r="J439" s="9" t="n"/>
      <c r="K439" s="9" t="n"/>
      <c r="L439" s="9" t="n"/>
    </row>
    <row r="440">
      <c r="A440" s="15" t="n"/>
      <c r="B440" s="9" t="n"/>
      <c r="C440" s="9" t="n"/>
      <c r="D440" s="17" t="n"/>
      <c r="E440" s="17" t="n"/>
      <c r="F440" s="10">
        <f>IF(OR($D440="",$E440=""),"",ROUND(MOD($E440-$D440,1)*24,2))</f>
        <v/>
      </c>
      <c r="G440" s="9" t="n"/>
      <c r="H440" s="10" t="n"/>
      <c r="I440" s="10">
        <f>IF($G440="Approved",IF($H440="",IF($F440="",0,$F440),$H440),0)</f>
        <v/>
      </c>
      <c r="J440" s="9" t="n"/>
      <c r="K440" s="9" t="n"/>
      <c r="L440" s="9" t="n"/>
    </row>
    <row r="441">
      <c r="A441" s="15" t="n"/>
      <c r="B441" s="9" t="n"/>
      <c r="C441" s="9" t="n"/>
      <c r="D441" s="17" t="n"/>
      <c r="E441" s="17" t="n"/>
      <c r="F441" s="10">
        <f>IF(OR($D441="",$E441=""),"",ROUND(MOD($E441-$D441,1)*24,2))</f>
        <v/>
      </c>
      <c r="G441" s="9" t="n"/>
      <c r="H441" s="10" t="n"/>
      <c r="I441" s="10">
        <f>IF($G441="Approved",IF($H441="",IF($F441="",0,$F441),$H441),0)</f>
        <v/>
      </c>
      <c r="J441" s="9" t="n"/>
      <c r="K441" s="9" t="n"/>
      <c r="L441" s="9" t="n"/>
    </row>
    <row r="442">
      <c r="A442" s="15" t="n"/>
      <c r="B442" s="9" t="n"/>
      <c r="C442" s="9" t="n"/>
      <c r="D442" s="17" t="n"/>
      <c r="E442" s="17" t="n"/>
      <c r="F442" s="10">
        <f>IF(OR($D442="",$E442=""),"",ROUND(MOD($E442-$D442,1)*24,2))</f>
        <v/>
      </c>
      <c r="G442" s="9" t="n"/>
      <c r="H442" s="10" t="n"/>
      <c r="I442" s="10">
        <f>IF($G442="Approved",IF($H442="",IF($F442="",0,$F442),$H442),0)</f>
        <v/>
      </c>
      <c r="J442" s="9" t="n"/>
      <c r="K442" s="9" t="n"/>
      <c r="L442" s="9" t="n"/>
    </row>
    <row r="443">
      <c r="A443" s="15" t="n"/>
      <c r="B443" s="9" t="n"/>
      <c r="C443" s="9" t="n"/>
      <c r="D443" s="17" t="n"/>
      <c r="E443" s="17" t="n"/>
      <c r="F443" s="10">
        <f>IF(OR($D443="",$E443=""),"",ROUND(MOD($E443-$D443,1)*24,2))</f>
        <v/>
      </c>
      <c r="G443" s="9" t="n"/>
      <c r="H443" s="10" t="n"/>
      <c r="I443" s="10">
        <f>IF($G443="Approved",IF($H443="",IF($F443="",0,$F443),$H443),0)</f>
        <v/>
      </c>
      <c r="J443" s="9" t="n"/>
      <c r="K443" s="9" t="n"/>
      <c r="L443" s="9" t="n"/>
    </row>
    <row r="444">
      <c r="A444" s="15" t="n"/>
      <c r="B444" s="9" t="n"/>
      <c r="C444" s="9" t="n"/>
      <c r="D444" s="17" t="n"/>
      <c r="E444" s="17" t="n"/>
      <c r="F444" s="10">
        <f>IF(OR($D444="",$E444=""),"",ROUND(MOD($E444-$D444,1)*24,2))</f>
        <v/>
      </c>
      <c r="G444" s="9" t="n"/>
      <c r="H444" s="10" t="n"/>
      <c r="I444" s="10">
        <f>IF($G444="Approved",IF($H444="",IF($F444="",0,$F444),$H444),0)</f>
        <v/>
      </c>
      <c r="J444" s="9" t="n"/>
      <c r="K444" s="9" t="n"/>
      <c r="L444" s="9" t="n"/>
    </row>
    <row r="445">
      <c r="A445" s="15" t="n"/>
      <c r="B445" s="9" t="n"/>
      <c r="C445" s="9" t="n"/>
      <c r="D445" s="17" t="n"/>
      <c r="E445" s="17" t="n"/>
      <c r="F445" s="10">
        <f>IF(OR($D445="",$E445=""),"",ROUND(MOD($E445-$D445,1)*24,2))</f>
        <v/>
      </c>
      <c r="G445" s="9" t="n"/>
      <c r="H445" s="10" t="n"/>
      <c r="I445" s="10">
        <f>IF($G445="Approved",IF($H445="",IF($F445="",0,$F445),$H445),0)</f>
        <v/>
      </c>
      <c r="J445" s="9" t="n"/>
      <c r="K445" s="9" t="n"/>
      <c r="L445" s="9" t="n"/>
    </row>
    <row r="446">
      <c r="A446" s="15" t="n"/>
      <c r="B446" s="9" t="n"/>
      <c r="C446" s="9" t="n"/>
      <c r="D446" s="17" t="n"/>
      <c r="E446" s="17" t="n"/>
      <c r="F446" s="10">
        <f>IF(OR($D446="",$E446=""),"",ROUND(MOD($E446-$D446,1)*24,2))</f>
        <v/>
      </c>
      <c r="G446" s="9" t="n"/>
      <c r="H446" s="10" t="n"/>
      <c r="I446" s="10">
        <f>IF($G446="Approved",IF($H446="",IF($F446="",0,$F446),$H446),0)</f>
        <v/>
      </c>
      <c r="J446" s="9" t="n"/>
      <c r="K446" s="9" t="n"/>
      <c r="L446" s="9" t="n"/>
    </row>
    <row r="447">
      <c r="A447" s="15" t="n"/>
      <c r="B447" s="9" t="n"/>
      <c r="C447" s="9" t="n"/>
      <c r="D447" s="17" t="n"/>
      <c r="E447" s="17" t="n"/>
      <c r="F447" s="10">
        <f>IF(OR($D447="",$E447=""),"",ROUND(MOD($E447-$D447,1)*24,2))</f>
        <v/>
      </c>
      <c r="G447" s="9" t="n"/>
      <c r="H447" s="10" t="n"/>
      <c r="I447" s="10">
        <f>IF($G447="Approved",IF($H447="",IF($F447="",0,$F447),$H447),0)</f>
        <v/>
      </c>
      <c r="J447" s="9" t="n"/>
      <c r="K447" s="9" t="n"/>
      <c r="L447" s="9" t="n"/>
    </row>
    <row r="448">
      <c r="A448" s="15" t="n"/>
      <c r="B448" s="9" t="n"/>
      <c r="C448" s="9" t="n"/>
      <c r="D448" s="17" t="n"/>
      <c r="E448" s="17" t="n"/>
      <c r="F448" s="10">
        <f>IF(OR($D448="",$E448=""),"",ROUND(MOD($E448-$D448,1)*24,2))</f>
        <v/>
      </c>
      <c r="G448" s="9" t="n"/>
      <c r="H448" s="10" t="n"/>
      <c r="I448" s="10">
        <f>IF($G448="Approved",IF($H448="",IF($F448="",0,$F448),$H448),0)</f>
        <v/>
      </c>
      <c r="J448" s="9" t="n"/>
      <c r="K448" s="9" t="n"/>
      <c r="L448" s="9" t="n"/>
    </row>
    <row r="449">
      <c r="A449" s="15" t="n"/>
      <c r="B449" s="9" t="n"/>
      <c r="C449" s="9" t="n"/>
      <c r="D449" s="17" t="n"/>
      <c r="E449" s="17" t="n"/>
      <c r="F449" s="10">
        <f>IF(OR($D449="",$E449=""),"",ROUND(MOD($E449-$D449,1)*24,2))</f>
        <v/>
      </c>
      <c r="G449" s="9" t="n"/>
      <c r="H449" s="10" t="n"/>
      <c r="I449" s="10">
        <f>IF($G449="Approved",IF($H449="",IF($F449="",0,$F449),$H449),0)</f>
        <v/>
      </c>
      <c r="J449" s="9" t="n"/>
      <c r="K449" s="9" t="n"/>
      <c r="L449" s="9" t="n"/>
    </row>
    <row r="450">
      <c r="A450" s="15" t="n"/>
      <c r="B450" s="9" t="n"/>
      <c r="C450" s="9" t="n"/>
      <c r="D450" s="17" t="n"/>
      <c r="E450" s="17" t="n"/>
      <c r="F450" s="10">
        <f>IF(OR($D450="",$E450=""),"",ROUND(MOD($E450-$D450,1)*24,2))</f>
        <v/>
      </c>
      <c r="G450" s="9" t="n"/>
      <c r="H450" s="10" t="n"/>
      <c r="I450" s="10">
        <f>IF($G450="Approved",IF($H450="",IF($F450="",0,$F450),$H450),0)</f>
        <v/>
      </c>
      <c r="J450" s="9" t="n"/>
      <c r="K450" s="9" t="n"/>
      <c r="L450" s="9" t="n"/>
    </row>
    <row r="451">
      <c r="A451" s="15" t="n"/>
      <c r="B451" s="9" t="n"/>
      <c r="C451" s="9" t="n"/>
      <c r="D451" s="17" t="n"/>
      <c r="E451" s="17" t="n"/>
      <c r="F451" s="10">
        <f>IF(OR($D451="",$E451=""),"",ROUND(MOD($E451-$D451,1)*24,2))</f>
        <v/>
      </c>
      <c r="G451" s="9" t="n"/>
      <c r="H451" s="10" t="n"/>
      <c r="I451" s="10">
        <f>IF($G451="Approved",IF($H451="",IF($F451="",0,$F451),$H451),0)</f>
        <v/>
      </c>
      <c r="J451" s="9" t="n"/>
      <c r="K451" s="9" t="n"/>
      <c r="L451" s="9" t="n"/>
    </row>
    <row r="452">
      <c r="A452" s="15" t="n"/>
      <c r="B452" s="9" t="n"/>
      <c r="C452" s="9" t="n"/>
      <c r="D452" s="17" t="n"/>
      <c r="E452" s="17" t="n"/>
      <c r="F452" s="10">
        <f>IF(OR($D452="",$E452=""),"",ROUND(MOD($E452-$D452,1)*24,2))</f>
        <v/>
      </c>
      <c r="G452" s="9" t="n"/>
      <c r="H452" s="10" t="n"/>
      <c r="I452" s="10">
        <f>IF($G452="Approved",IF($H452="",IF($F452="",0,$F452),$H452),0)</f>
        <v/>
      </c>
      <c r="J452" s="9" t="n"/>
      <c r="K452" s="9" t="n"/>
      <c r="L452" s="9" t="n"/>
    </row>
    <row r="453">
      <c r="A453" s="15" t="n"/>
      <c r="B453" s="9" t="n"/>
      <c r="C453" s="9" t="n"/>
      <c r="D453" s="17" t="n"/>
      <c r="E453" s="17" t="n"/>
      <c r="F453" s="10">
        <f>IF(OR($D453="",$E453=""),"",ROUND(MOD($E453-$D453,1)*24,2))</f>
        <v/>
      </c>
      <c r="G453" s="9" t="n"/>
      <c r="H453" s="10" t="n"/>
      <c r="I453" s="10">
        <f>IF($G453="Approved",IF($H453="",IF($F453="",0,$F453),$H453),0)</f>
        <v/>
      </c>
      <c r="J453" s="9" t="n"/>
      <c r="K453" s="9" t="n"/>
      <c r="L453" s="9" t="n"/>
    </row>
    <row r="454">
      <c r="A454" s="15" t="n"/>
      <c r="B454" s="9" t="n"/>
      <c r="C454" s="9" t="n"/>
      <c r="D454" s="17" t="n"/>
      <c r="E454" s="17" t="n"/>
      <c r="F454" s="10">
        <f>IF(OR($D454="",$E454=""),"",ROUND(MOD($E454-$D454,1)*24,2))</f>
        <v/>
      </c>
      <c r="G454" s="9" t="n"/>
      <c r="H454" s="10" t="n"/>
      <c r="I454" s="10">
        <f>IF($G454="Approved",IF($H454="",IF($F454="",0,$F454),$H454),0)</f>
        <v/>
      </c>
      <c r="J454" s="9" t="n"/>
      <c r="K454" s="9" t="n"/>
      <c r="L454" s="9" t="n"/>
    </row>
    <row r="455">
      <c r="A455" s="15" t="n"/>
      <c r="B455" s="9" t="n"/>
      <c r="C455" s="9" t="n"/>
      <c r="D455" s="17" t="n"/>
      <c r="E455" s="17" t="n"/>
      <c r="F455" s="10">
        <f>IF(OR($D455="",$E455=""),"",ROUND(MOD($E455-$D455,1)*24,2))</f>
        <v/>
      </c>
      <c r="G455" s="9" t="n"/>
      <c r="H455" s="10" t="n"/>
      <c r="I455" s="10">
        <f>IF($G455="Approved",IF($H455="",IF($F455="",0,$F455),$H455),0)</f>
        <v/>
      </c>
      <c r="J455" s="9" t="n"/>
      <c r="K455" s="9" t="n"/>
      <c r="L455" s="9" t="n"/>
    </row>
    <row r="456">
      <c r="A456" s="15" t="n"/>
      <c r="B456" s="9" t="n"/>
      <c r="C456" s="9" t="n"/>
      <c r="D456" s="17" t="n"/>
      <c r="E456" s="17" t="n"/>
      <c r="F456" s="10">
        <f>IF(OR($D456="",$E456=""),"",ROUND(MOD($E456-$D456,1)*24,2))</f>
        <v/>
      </c>
      <c r="G456" s="9" t="n"/>
      <c r="H456" s="10" t="n"/>
      <c r="I456" s="10">
        <f>IF($G456="Approved",IF($H456="",IF($F456="",0,$F456),$H456),0)</f>
        <v/>
      </c>
      <c r="J456" s="9" t="n"/>
      <c r="K456" s="9" t="n"/>
      <c r="L456" s="9" t="n"/>
    </row>
    <row r="457">
      <c r="A457" s="15" t="n"/>
      <c r="B457" s="9" t="n"/>
      <c r="C457" s="9" t="n"/>
      <c r="D457" s="17" t="n"/>
      <c r="E457" s="17" t="n"/>
      <c r="F457" s="10">
        <f>IF(OR($D457="",$E457=""),"",ROUND(MOD($E457-$D457,1)*24,2))</f>
        <v/>
      </c>
      <c r="G457" s="9" t="n"/>
      <c r="H457" s="10" t="n"/>
      <c r="I457" s="10">
        <f>IF($G457="Approved",IF($H457="",IF($F457="",0,$F457),$H457),0)</f>
        <v/>
      </c>
      <c r="J457" s="9" t="n"/>
      <c r="K457" s="9" t="n"/>
      <c r="L457" s="9" t="n"/>
    </row>
    <row r="458">
      <c r="A458" s="15" t="n"/>
      <c r="B458" s="9" t="n"/>
      <c r="C458" s="9" t="n"/>
      <c r="D458" s="17" t="n"/>
      <c r="E458" s="17" t="n"/>
      <c r="F458" s="10">
        <f>IF(OR($D458="",$E458=""),"",ROUND(MOD($E458-$D458,1)*24,2))</f>
        <v/>
      </c>
      <c r="G458" s="9" t="n"/>
      <c r="H458" s="10" t="n"/>
      <c r="I458" s="10">
        <f>IF($G458="Approved",IF($H458="",IF($F458="",0,$F458),$H458),0)</f>
        <v/>
      </c>
      <c r="J458" s="9" t="n"/>
      <c r="K458" s="9" t="n"/>
      <c r="L458" s="9" t="n"/>
    </row>
    <row r="459">
      <c r="A459" s="15" t="n"/>
      <c r="B459" s="9" t="n"/>
      <c r="C459" s="9" t="n"/>
      <c r="D459" s="17" t="n"/>
      <c r="E459" s="17" t="n"/>
      <c r="F459" s="10">
        <f>IF(OR($D459="",$E459=""),"",ROUND(MOD($E459-$D459,1)*24,2))</f>
        <v/>
      </c>
      <c r="G459" s="9" t="n"/>
      <c r="H459" s="10" t="n"/>
      <c r="I459" s="10">
        <f>IF($G459="Approved",IF($H459="",IF($F459="",0,$F459),$H459),0)</f>
        <v/>
      </c>
      <c r="J459" s="9" t="n"/>
      <c r="K459" s="9" t="n"/>
      <c r="L459" s="9" t="n"/>
    </row>
    <row r="460">
      <c r="A460" s="15" t="n"/>
      <c r="B460" s="9" t="n"/>
      <c r="C460" s="9" t="n"/>
      <c r="D460" s="17" t="n"/>
      <c r="E460" s="17" t="n"/>
      <c r="F460" s="10">
        <f>IF(OR($D460="",$E460=""),"",ROUND(MOD($E460-$D460,1)*24,2))</f>
        <v/>
      </c>
      <c r="G460" s="9" t="n"/>
      <c r="H460" s="10" t="n"/>
      <c r="I460" s="10">
        <f>IF($G460="Approved",IF($H460="",IF($F460="",0,$F460),$H460),0)</f>
        <v/>
      </c>
      <c r="J460" s="9" t="n"/>
      <c r="K460" s="9" t="n"/>
      <c r="L460" s="9" t="n"/>
    </row>
    <row r="461">
      <c r="A461" s="15" t="n"/>
      <c r="B461" s="9" t="n"/>
      <c r="C461" s="9" t="n"/>
      <c r="D461" s="17" t="n"/>
      <c r="E461" s="17" t="n"/>
      <c r="F461" s="10">
        <f>IF(OR($D461="",$E461=""),"",ROUND(MOD($E461-$D461,1)*24,2))</f>
        <v/>
      </c>
      <c r="G461" s="9" t="n"/>
      <c r="H461" s="10" t="n"/>
      <c r="I461" s="10">
        <f>IF($G461="Approved",IF($H461="",IF($F461="",0,$F461),$H461),0)</f>
        <v/>
      </c>
      <c r="J461" s="9" t="n"/>
      <c r="K461" s="9" t="n"/>
      <c r="L461" s="9" t="n"/>
    </row>
    <row r="462">
      <c r="A462" s="15" t="n"/>
      <c r="B462" s="9" t="n"/>
      <c r="C462" s="9" t="n"/>
      <c r="D462" s="17" t="n"/>
      <c r="E462" s="17" t="n"/>
      <c r="F462" s="10">
        <f>IF(OR($D462="",$E462=""),"",ROUND(MOD($E462-$D462,1)*24,2))</f>
        <v/>
      </c>
      <c r="G462" s="9" t="n"/>
      <c r="H462" s="10" t="n"/>
      <c r="I462" s="10">
        <f>IF($G462="Approved",IF($H462="",IF($F462="",0,$F462),$H462),0)</f>
        <v/>
      </c>
      <c r="J462" s="9" t="n"/>
      <c r="K462" s="9" t="n"/>
      <c r="L462" s="9" t="n"/>
    </row>
    <row r="463">
      <c r="A463" s="15" t="n"/>
      <c r="B463" s="9" t="n"/>
      <c r="C463" s="9" t="n"/>
      <c r="D463" s="17" t="n"/>
      <c r="E463" s="17" t="n"/>
      <c r="F463" s="10">
        <f>IF(OR($D463="",$E463=""),"",ROUND(MOD($E463-$D463,1)*24,2))</f>
        <v/>
      </c>
      <c r="G463" s="9" t="n"/>
      <c r="H463" s="10" t="n"/>
      <c r="I463" s="10">
        <f>IF($G463="Approved",IF($H463="",IF($F463="",0,$F463),$H463),0)</f>
        <v/>
      </c>
      <c r="J463" s="9" t="n"/>
      <c r="K463" s="9" t="n"/>
      <c r="L463" s="9" t="n"/>
    </row>
    <row r="464">
      <c r="A464" s="15" t="n"/>
      <c r="B464" s="9" t="n"/>
      <c r="C464" s="9" t="n"/>
      <c r="D464" s="17" t="n"/>
      <c r="E464" s="17" t="n"/>
      <c r="F464" s="10">
        <f>IF(OR($D464="",$E464=""),"",ROUND(MOD($E464-$D464,1)*24,2))</f>
        <v/>
      </c>
      <c r="G464" s="9" t="n"/>
      <c r="H464" s="10" t="n"/>
      <c r="I464" s="10">
        <f>IF($G464="Approved",IF($H464="",IF($F464="",0,$F464),$H464),0)</f>
        <v/>
      </c>
      <c r="J464" s="9" t="n"/>
      <c r="K464" s="9" t="n"/>
      <c r="L464" s="9" t="n"/>
    </row>
    <row r="465">
      <c r="A465" s="15" t="n"/>
      <c r="B465" s="9" t="n"/>
      <c r="C465" s="9" t="n"/>
      <c r="D465" s="17" t="n"/>
      <c r="E465" s="17" t="n"/>
      <c r="F465" s="10">
        <f>IF(OR($D465="",$E465=""),"",ROUND(MOD($E465-$D465,1)*24,2))</f>
        <v/>
      </c>
      <c r="G465" s="9" t="n"/>
      <c r="H465" s="10" t="n"/>
      <c r="I465" s="10">
        <f>IF($G465="Approved",IF($H465="",IF($F465="",0,$F465),$H465),0)</f>
        <v/>
      </c>
      <c r="J465" s="9" t="n"/>
      <c r="K465" s="9" t="n"/>
      <c r="L465" s="9" t="n"/>
    </row>
    <row r="466">
      <c r="A466" s="15" t="n"/>
      <c r="B466" s="9" t="n"/>
      <c r="C466" s="9" t="n"/>
      <c r="D466" s="17" t="n"/>
      <c r="E466" s="17" t="n"/>
      <c r="F466" s="10">
        <f>IF(OR($D466="",$E466=""),"",ROUND(MOD($E466-$D466,1)*24,2))</f>
        <v/>
      </c>
      <c r="G466" s="9" t="n"/>
      <c r="H466" s="10" t="n"/>
      <c r="I466" s="10">
        <f>IF($G466="Approved",IF($H466="",IF($F466="",0,$F466),$H466),0)</f>
        <v/>
      </c>
      <c r="J466" s="9" t="n"/>
      <c r="K466" s="9" t="n"/>
      <c r="L466" s="9" t="n"/>
    </row>
    <row r="467">
      <c r="A467" s="15" t="n"/>
      <c r="B467" s="9" t="n"/>
      <c r="C467" s="9" t="n"/>
      <c r="D467" s="17" t="n"/>
      <c r="E467" s="17" t="n"/>
      <c r="F467" s="10">
        <f>IF(OR($D467="",$E467=""),"",ROUND(MOD($E467-$D467,1)*24,2))</f>
        <v/>
      </c>
      <c r="G467" s="9" t="n"/>
      <c r="H467" s="10" t="n"/>
      <c r="I467" s="10">
        <f>IF($G467="Approved",IF($H467="",IF($F467="",0,$F467),$H467),0)</f>
        <v/>
      </c>
      <c r="J467" s="9" t="n"/>
      <c r="K467" s="9" t="n"/>
      <c r="L467" s="9" t="n"/>
    </row>
    <row r="468">
      <c r="A468" s="15" t="n"/>
      <c r="B468" s="9" t="n"/>
      <c r="C468" s="9" t="n"/>
      <c r="D468" s="17" t="n"/>
      <c r="E468" s="17" t="n"/>
      <c r="F468" s="10">
        <f>IF(OR($D468="",$E468=""),"",ROUND(MOD($E468-$D468,1)*24,2))</f>
        <v/>
      </c>
      <c r="G468" s="9" t="n"/>
      <c r="H468" s="10" t="n"/>
      <c r="I468" s="10">
        <f>IF($G468="Approved",IF($H468="",IF($F468="",0,$F468),$H468),0)</f>
        <v/>
      </c>
      <c r="J468" s="9" t="n"/>
      <c r="K468" s="9" t="n"/>
      <c r="L468" s="9" t="n"/>
    </row>
    <row r="469">
      <c r="A469" s="15" t="n"/>
      <c r="B469" s="9" t="n"/>
      <c r="C469" s="9" t="n"/>
      <c r="D469" s="17" t="n"/>
      <c r="E469" s="17" t="n"/>
      <c r="F469" s="10">
        <f>IF(OR($D469="",$E469=""),"",ROUND(MOD($E469-$D469,1)*24,2))</f>
        <v/>
      </c>
      <c r="G469" s="9" t="n"/>
      <c r="H469" s="10" t="n"/>
      <c r="I469" s="10">
        <f>IF($G469="Approved",IF($H469="",IF($F469="",0,$F469),$H469),0)</f>
        <v/>
      </c>
      <c r="J469" s="9" t="n"/>
      <c r="K469" s="9" t="n"/>
      <c r="L469" s="9" t="n"/>
    </row>
    <row r="470">
      <c r="A470" s="15" t="n"/>
      <c r="B470" s="9" t="n"/>
      <c r="C470" s="9" t="n"/>
      <c r="D470" s="17" t="n"/>
      <c r="E470" s="17" t="n"/>
      <c r="F470" s="10">
        <f>IF(OR($D470="",$E470=""),"",ROUND(MOD($E470-$D470,1)*24,2))</f>
        <v/>
      </c>
      <c r="G470" s="9" t="n"/>
      <c r="H470" s="10" t="n"/>
      <c r="I470" s="10">
        <f>IF($G470="Approved",IF($H470="",IF($F470="",0,$F470),$H470),0)</f>
        <v/>
      </c>
      <c r="J470" s="9" t="n"/>
      <c r="K470" s="9" t="n"/>
      <c r="L470" s="9" t="n"/>
    </row>
    <row r="471">
      <c r="A471" s="15" t="n"/>
      <c r="B471" s="9" t="n"/>
      <c r="C471" s="9" t="n"/>
      <c r="D471" s="17" t="n"/>
      <c r="E471" s="17" t="n"/>
      <c r="F471" s="10">
        <f>IF(OR($D471="",$E471=""),"",ROUND(MOD($E471-$D471,1)*24,2))</f>
        <v/>
      </c>
      <c r="G471" s="9" t="n"/>
      <c r="H471" s="10" t="n"/>
      <c r="I471" s="10">
        <f>IF($G471="Approved",IF($H471="",IF($F471="",0,$F471),$H471),0)</f>
        <v/>
      </c>
      <c r="J471" s="9" t="n"/>
      <c r="K471" s="9" t="n"/>
      <c r="L471" s="9" t="n"/>
    </row>
    <row r="472">
      <c r="A472" s="15" t="n"/>
      <c r="B472" s="9" t="n"/>
      <c r="C472" s="9" t="n"/>
      <c r="D472" s="17" t="n"/>
      <c r="E472" s="17" t="n"/>
      <c r="F472" s="10">
        <f>IF(OR($D472="",$E472=""),"",ROUND(MOD($E472-$D472,1)*24,2))</f>
        <v/>
      </c>
      <c r="G472" s="9" t="n"/>
      <c r="H472" s="10" t="n"/>
      <c r="I472" s="10">
        <f>IF($G472="Approved",IF($H472="",IF($F472="",0,$F472),$H472),0)</f>
        <v/>
      </c>
      <c r="J472" s="9" t="n"/>
      <c r="K472" s="9" t="n"/>
      <c r="L472" s="9" t="n"/>
    </row>
    <row r="473">
      <c r="A473" s="15" t="n"/>
      <c r="B473" s="9" t="n"/>
      <c r="C473" s="9" t="n"/>
      <c r="D473" s="17" t="n"/>
      <c r="E473" s="17" t="n"/>
      <c r="F473" s="10">
        <f>IF(OR($D473="",$E473=""),"",ROUND(MOD($E473-$D473,1)*24,2))</f>
        <v/>
      </c>
      <c r="G473" s="9" t="n"/>
      <c r="H473" s="10" t="n"/>
      <c r="I473" s="10">
        <f>IF($G473="Approved",IF($H473="",IF($F473="",0,$F473),$H473),0)</f>
        <v/>
      </c>
      <c r="J473" s="9" t="n"/>
      <c r="K473" s="9" t="n"/>
      <c r="L473" s="9" t="n"/>
    </row>
    <row r="474">
      <c r="A474" s="15" t="n"/>
      <c r="B474" s="9" t="n"/>
      <c r="C474" s="9" t="n"/>
      <c r="D474" s="17" t="n"/>
      <c r="E474" s="17" t="n"/>
      <c r="F474" s="10">
        <f>IF(OR($D474="",$E474=""),"",ROUND(MOD($E474-$D474,1)*24,2))</f>
        <v/>
      </c>
      <c r="G474" s="9" t="n"/>
      <c r="H474" s="10" t="n"/>
      <c r="I474" s="10">
        <f>IF($G474="Approved",IF($H474="",IF($F474="",0,$F474),$H474),0)</f>
        <v/>
      </c>
      <c r="J474" s="9" t="n"/>
      <c r="K474" s="9" t="n"/>
      <c r="L474" s="9" t="n"/>
    </row>
    <row r="475">
      <c r="A475" s="15" t="n"/>
      <c r="B475" s="9" t="n"/>
      <c r="C475" s="9" t="n"/>
      <c r="D475" s="17" t="n"/>
      <c r="E475" s="17" t="n"/>
      <c r="F475" s="10">
        <f>IF(OR($D475="",$E475=""),"",ROUND(MOD($E475-$D475,1)*24,2))</f>
        <v/>
      </c>
      <c r="G475" s="9" t="n"/>
      <c r="H475" s="10" t="n"/>
      <c r="I475" s="10">
        <f>IF($G475="Approved",IF($H475="",IF($F475="",0,$F475),$H475),0)</f>
        <v/>
      </c>
      <c r="J475" s="9" t="n"/>
      <c r="K475" s="9" t="n"/>
      <c r="L475" s="9" t="n"/>
    </row>
    <row r="476">
      <c r="A476" s="15" t="n"/>
      <c r="B476" s="9" t="n"/>
      <c r="C476" s="9" t="n"/>
      <c r="D476" s="17" t="n"/>
      <c r="E476" s="17" t="n"/>
      <c r="F476" s="10">
        <f>IF(OR($D476="",$E476=""),"",ROUND(MOD($E476-$D476,1)*24,2))</f>
        <v/>
      </c>
      <c r="G476" s="9" t="n"/>
      <c r="H476" s="10" t="n"/>
      <c r="I476" s="10">
        <f>IF($G476="Approved",IF($H476="",IF($F476="",0,$F476),$H476),0)</f>
        <v/>
      </c>
      <c r="J476" s="9" t="n"/>
      <c r="K476" s="9" t="n"/>
      <c r="L476" s="9" t="n"/>
    </row>
    <row r="477">
      <c r="A477" s="15" t="n"/>
      <c r="B477" s="9" t="n"/>
      <c r="C477" s="9" t="n"/>
      <c r="D477" s="17" t="n"/>
      <c r="E477" s="17" t="n"/>
      <c r="F477" s="10">
        <f>IF(OR($D477="",$E477=""),"",ROUND(MOD($E477-$D477,1)*24,2))</f>
        <v/>
      </c>
      <c r="G477" s="9" t="n"/>
      <c r="H477" s="10" t="n"/>
      <c r="I477" s="10">
        <f>IF($G477="Approved",IF($H477="",IF($F477="",0,$F477),$H477),0)</f>
        <v/>
      </c>
      <c r="J477" s="9" t="n"/>
      <c r="K477" s="9" t="n"/>
      <c r="L477" s="9" t="n"/>
    </row>
    <row r="478">
      <c r="A478" s="15" t="n"/>
      <c r="B478" s="9" t="n"/>
      <c r="C478" s="9" t="n"/>
      <c r="D478" s="17" t="n"/>
      <c r="E478" s="17" t="n"/>
      <c r="F478" s="10">
        <f>IF(OR($D478="",$E478=""),"",ROUND(MOD($E478-$D478,1)*24,2))</f>
        <v/>
      </c>
      <c r="G478" s="9" t="n"/>
      <c r="H478" s="10" t="n"/>
      <c r="I478" s="10">
        <f>IF($G478="Approved",IF($H478="",IF($F478="",0,$F478),$H478),0)</f>
        <v/>
      </c>
      <c r="J478" s="9" t="n"/>
      <c r="K478" s="9" t="n"/>
      <c r="L478" s="9" t="n"/>
    </row>
    <row r="479">
      <c r="A479" s="15" t="n"/>
      <c r="B479" s="9" t="n"/>
      <c r="C479" s="9" t="n"/>
      <c r="D479" s="17" t="n"/>
      <c r="E479" s="17" t="n"/>
      <c r="F479" s="10">
        <f>IF(OR($D479="",$E479=""),"",ROUND(MOD($E479-$D479,1)*24,2))</f>
        <v/>
      </c>
      <c r="G479" s="9" t="n"/>
      <c r="H479" s="10" t="n"/>
      <c r="I479" s="10">
        <f>IF($G479="Approved",IF($H479="",IF($F479="",0,$F479),$H479),0)</f>
        <v/>
      </c>
      <c r="J479" s="9" t="n"/>
      <c r="K479" s="9" t="n"/>
      <c r="L479" s="9" t="n"/>
    </row>
    <row r="480">
      <c r="A480" s="15" t="n"/>
      <c r="B480" s="9" t="n"/>
      <c r="C480" s="9" t="n"/>
      <c r="D480" s="17" t="n"/>
      <c r="E480" s="17" t="n"/>
      <c r="F480" s="10">
        <f>IF(OR($D480="",$E480=""),"",ROUND(MOD($E480-$D480,1)*24,2))</f>
        <v/>
      </c>
      <c r="G480" s="9" t="n"/>
      <c r="H480" s="10" t="n"/>
      <c r="I480" s="10">
        <f>IF($G480="Approved",IF($H480="",IF($F480="",0,$F480),$H480),0)</f>
        <v/>
      </c>
      <c r="J480" s="9" t="n"/>
      <c r="K480" s="9" t="n"/>
      <c r="L480" s="9" t="n"/>
    </row>
    <row r="481">
      <c r="A481" s="15" t="n"/>
      <c r="B481" s="9" t="n"/>
      <c r="C481" s="9" t="n"/>
      <c r="D481" s="17" t="n"/>
      <c r="E481" s="17" t="n"/>
      <c r="F481" s="10">
        <f>IF(OR($D481="",$E481=""),"",ROUND(MOD($E481-$D481,1)*24,2))</f>
        <v/>
      </c>
      <c r="G481" s="9" t="n"/>
      <c r="H481" s="10" t="n"/>
      <c r="I481" s="10">
        <f>IF($G481="Approved",IF($H481="",IF($F481="",0,$F481),$H481),0)</f>
        <v/>
      </c>
      <c r="J481" s="9" t="n"/>
      <c r="K481" s="9" t="n"/>
      <c r="L481" s="9" t="n"/>
    </row>
    <row r="482">
      <c r="A482" s="15" t="n"/>
      <c r="B482" s="9" t="n"/>
      <c r="C482" s="9" t="n"/>
      <c r="D482" s="17" t="n"/>
      <c r="E482" s="17" t="n"/>
      <c r="F482" s="10">
        <f>IF(OR($D482="",$E482=""),"",ROUND(MOD($E482-$D482,1)*24,2))</f>
        <v/>
      </c>
      <c r="G482" s="9" t="n"/>
      <c r="H482" s="10" t="n"/>
      <c r="I482" s="10">
        <f>IF($G482="Approved",IF($H482="",IF($F482="",0,$F482),$H482),0)</f>
        <v/>
      </c>
      <c r="J482" s="9" t="n"/>
      <c r="K482" s="9" t="n"/>
      <c r="L482" s="9" t="n"/>
    </row>
    <row r="483">
      <c r="A483" s="15" t="n"/>
      <c r="B483" s="9" t="n"/>
      <c r="C483" s="9" t="n"/>
      <c r="D483" s="17" t="n"/>
      <c r="E483" s="17" t="n"/>
      <c r="F483" s="10">
        <f>IF(OR($D483="",$E483=""),"",ROUND(MOD($E483-$D483,1)*24,2))</f>
        <v/>
      </c>
      <c r="G483" s="9" t="n"/>
      <c r="H483" s="10" t="n"/>
      <c r="I483" s="10">
        <f>IF($G483="Approved",IF($H483="",IF($F483="",0,$F483),$H483),0)</f>
        <v/>
      </c>
      <c r="J483" s="9" t="n"/>
      <c r="K483" s="9" t="n"/>
      <c r="L483" s="9" t="n"/>
    </row>
    <row r="484">
      <c r="A484" s="15" t="n"/>
      <c r="B484" s="9" t="n"/>
      <c r="C484" s="9" t="n"/>
      <c r="D484" s="17" t="n"/>
      <c r="E484" s="17" t="n"/>
      <c r="F484" s="10">
        <f>IF(OR($D484="",$E484=""),"",ROUND(MOD($E484-$D484,1)*24,2))</f>
        <v/>
      </c>
      <c r="G484" s="9" t="n"/>
      <c r="H484" s="10" t="n"/>
      <c r="I484" s="10">
        <f>IF($G484="Approved",IF($H484="",IF($F484="",0,$F484),$H484),0)</f>
        <v/>
      </c>
      <c r="J484" s="9" t="n"/>
      <c r="K484" s="9" t="n"/>
      <c r="L484" s="9" t="n"/>
    </row>
    <row r="485">
      <c r="A485" s="15" t="n"/>
      <c r="B485" s="9" t="n"/>
      <c r="C485" s="9" t="n"/>
      <c r="D485" s="17" t="n"/>
      <c r="E485" s="17" t="n"/>
      <c r="F485" s="10">
        <f>IF(OR($D485="",$E485=""),"",ROUND(MOD($E485-$D485,1)*24,2))</f>
        <v/>
      </c>
      <c r="G485" s="9" t="n"/>
      <c r="H485" s="10" t="n"/>
      <c r="I485" s="10">
        <f>IF($G485="Approved",IF($H485="",IF($F485="",0,$F485),$H485),0)</f>
        <v/>
      </c>
      <c r="J485" s="9" t="n"/>
      <c r="K485" s="9" t="n"/>
      <c r="L485" s="9" t="n"/>
    </row>
    <row r="486">
      <c r="A486" s="15" t="n"/>
      <c r="B486" s="9" t="n"/>
      <c r="C486" s="9" t="n"/>
      <c r="D486" s="17" t="n"/>
      <c r="E486" s="17" t="n"/>
      <c r="F486" s="10">
        <f>IF(OR($D486="",$E486=""),"",ROUND(MOD($E486-$D486,1)*24,2))</f>
        <v/>
      </c>
      <c r="G486" s="9" t="n"/>
      <c r="H486" s="10" t="n"/>
      <c r="I486" s="10">
        <f>IF($G486="Approved",IF($H486="",IF($F486="",0,$F486),$H486),0)</f>
        <v/>
      </c>
      <c r="J486" s="9" t="n"/>
      <c r="K486" s="9" t="n"/>
      <c r="L486" s="9" t="n"/>
    </row>
    <row r="487">
      <c r="A487" s="15" t="n"/>
      <c r="B487" s="9" t="n"/>
      <c r="C487" s="9" t="n"/>
      <c r="D487" s="17" t="n"/>
      <c r="E487" s="17" t="n"/>
      <c r="F487" s="10">
        <f>IF(OR($D487="",$E487=""),"",ROUND(MOD($E487-$D487,1)*24,2))</f>
        <v/>
      </c>
      <c r="G487" s="9" t="n"/>
      <c r="H487" s="10" t="n"/>
      <c r="I487" s="10">
        <f>IF($G487="Approved",IF($H487="",IF($F487="",0,$F487),$H487),0)</f>
        <v/>
      </c>
      <c r="J487" s="9" t="n"/>
      <c r="K487" s="9" t="n"/>
      <c r="L487" s="9" t="n"/>
    </row>
    <row r="488">
      <c r="A488" s="15" t="n"/>
      <c r="B488" s="9" t="n"/>
      <c r="C488" s="9" t="n"/>
      <c r="D488" s="17" t="n"/>
      <c r="E488" s="17" t="n"/>
      <c r="F488" s="10">
        <f>IF(OR($D488="",$E488=""),"",ROUND(MOD($E488-$D488,1)*24,2))</f>
        <v/>
      </c>
      <c r="G488" s="9" t="n"/>
      <c r="H488" s="10" t="n"/>
      <c r="I488" s="10">
        <f>IF($G488="Approved",IF($H488="",IF($F488="",0,$F488),$H488),0)</f>
        <v/>
      </c>
      <c r="J488" s="9" t="n"/>
      <c r="K488" s="9" t="n"/>
      <c r="L488" s="9" t="n"/>
    </row>
    <row r="489">
      <c r="A489" s="15" t="n"/>
      <c r="B489" s="9" t="n"/>
      <c r="C489" s="9" t="n"/>
      <c r="D489" s="17" t="n"/>
      <c r="E489" s="17" t="n"/>
      <c r="F489" s="10">
        <f>IF(OR($D489="",$E489=""),"",ROUND(MOD($E489-$D489,1)*24,2))</f>
        <v/>
      </c>
      <c r="G489" s="9" t="n"/>
      <c r="H489" s="10" t="n"/>
      <c r="I489" s="10">
        <f>IF($G489="Approved",IF($H489="",IF($F489="",0,$F489),$H489),0)</f>
        <v/>
      </c>
      <c r="J489" s="9" t="n"/>
      <c r="K489" s="9" t="n"/>
      <c r="L489" s="9" t="n"/>
    </row>
    <row r="490">
      <c r="A490" s="15" t="n"/>
      <c r="B490" s="9" t="n"/>
      <c r="C490" s="9" t="n"/>
      <c r="D490" s="17" t="n"/>
      <c r="E490" s="17" t="n"/>
      <c r="F490" s="10">
        <f>IF(OR($D490="",$E490=""),"",ROUND(MOD($E490-$D490,1)*24,2))</f>
        <v/>
      </c>
      <c r="G490" s="9" t="n"/>
      <c r="H490" s="10" t="n"/>
      <c r="I490" s="10">
        <f>IF($G490="Approved",IF($H490="",IF($F490="",0,$F490),$H490),0)</f>
        <v/>
      </c>
      <c r="J490" s="9" t="n"/>
      <c r="K490" s="9" t="n"/>
      <c r="L490" s="9" t="n"/>
    </row>
    <row r="491">
      <c r="A491" s="15" t="n"/>
      <c r="B491" s="9" t="n"/>
      <c r="C491" s="9" t="n"/>
      <c r="D491" s="17" t="n"/>
      <c r="E491" s="17" t="n"/>
      <c r="F491" s="10">
        <f>IF(OR($D491="",$E491=""),"",ROUND(MOD($E491-$D491,1)*24,2))</f>
        <v/>
      </c>
      <c r="G491" s="9" t="n"/>
      <c r="H491" s="10" t="n"/>
      <c r="I491" s="10">
        <f>IF($G491="Approved",IF($H491="",IF($F491="",0,$F491),$H491),0)</f>
        <v/>
      </c>
      <c r="J491" s="9" t="n"/>
      <c r="K491" s="9" t="n"/>
      <c r="L491" s="9" t="n"/>
    </row>
    <row r="492">
      <c r="A492" s="15" t="n"/>
      <c r="B492" s="9" t="n"/>
      <c r="C492" s="9" t="n"/>
      <c r="D492" s="17" t="n"/>
      <c r="E492" s="17" t="n"/>
      <c r="F492" s="10">
        <f>IF(OR($D492="",$E492=""),"",ROUND(MOD($E492-$D492,1)*24,2))</f>
        <v/>
      </c>
      <c r="G492" s="9" t="n"/>
      <c r="H492" s="10" t="n"/>
      <c r="I492" s="10">
        <f>IF($G492="Approved",IF($H492="",IF($F492="",0,$F492),$H492),0)</f>
        <v/>
      </c>
      <c r="J492" s="9" t="n"/>
      <c r="K492" s="9" t="n"/>
      <c r="L492" s="9" t="n"/>
    </row>
    <row r="493">
      <c r="A493" s="15" t="n"/>
      <c r="B493" s="9" t="n"/>
      <c r="C493" s="9" t="n"/>
      <c r="D493" s="17" t="n"/>
      <c r="E493" s="17" t="n"/>
      <c r="F493" s="10">
        <f>IF(OR($D493="",$E493=""),"",ROUND(MOD($E493-$D493,1)*24,2))</f>
        <v/>
      </c>
      <c r="G493" s="9" t="n"/>
      <c r="H493" s="10" t="n"/>
      <c r="I493" s="10">
        <f>IF($G493="Approved",IF($H493="",IF($F493="",0,$F493),$H493),0)</f>
        <v/>
      </c>
      <c r="J493" s="9" t="n"/>
      <c r="K493" s="9" t="n"/>
      <c r="L493" s="9" t="n"/>
    </row>
    <row r="494">
      <c r="A494" s="15" t="n"/>
      <c r="B494" s="9" t="n"/>
      <c r="C494" s="9" t="n"/>
      <c r="D494" s="17" t="n"/>
      <c r="E494" s="17" t="n"/>
      <c r="F494" s="10">
        <f>IF(OR($D494="",$E494=""),"",ROUND(MOD($E494-$D494,1)*24,2))</f>
        <v/>
      </c>
      <c r="G494" s="9" t="n"/>
      <c r="H494" s="10" t="n"/>
      <c r="I494" s="10">
        <f>IF($G494="Approved",IF($H494="",IF($F494="",0,$F494),$H494),0)</f>
        <v/>
      </c>
      <c r="J494" s="9" t="n"/>
      <c r="K494" s="9" t="n"/>
      <c r="L494" s="9" t="n"/>
    </row>
    <row r="495">
      <c r="A495" s="15" t="n"/>
      <c r="B495" s="9" t="n"/>
      <c r="C495" s="9" t="n"/>
      <c r="D495" s="17" t="n"/>
      <c r="E495" s="17" t="n"/>
      <c r="F495" s="10">
        <f>IF(OR($D495="",$E495=""),"",ROUND(MOD($E495-$D495,1)*24,2))</f>
        <v/>
      </c>
      <c r="G495" s="9" t="n"/>
      <c r="H495" s="10" t="n"/>
      <c r="I495" s="10">
        <f>IF($G495="Approved",IF($H495="",IF($F495="",0,$F495),$H495),0)</f>
        <v/>
      </c>
      <c r="J495" s="9" t="n"/>
      <c r="K495" s="9" t="n"/>
      <c r="L495" s="9" t="n"/>
    </row>
    <row r="496">
      <c r="A496" s="15" t="n"/>
      <c r="B496" s="9" t="n"/>
      <c r="C496" s="9" t="n"/>
      <c r="D496" s="17" t="n"/>
      <c r="E496" s="17" t="n"/>
      <c r="F496" s="10">
        <f>IF(OR($D496="",$E496=""),"",ROUND(MOD($E496-$D496,1)*24,2))</f>
        <v/>
      </c>
      <c r="G496" s="9" t="n"/>
      <c r="H496" s="10" t="n"/>
      <c r="I496" s="10">
        <f>IF($G496="Approved",IF($H496="",IF($F496="",0,$F496),$H496),0)</f>
        <v/>
      </c>
      <c r="J496" s="9" t="n"/>
      <c r="K496" s="9" t="n"/>
      <c r="L496" s="9" t="n"/>
    </row>
    <row r="497">
      <c r="A497" s="15" t="n"/>
      <c r="B497" s="9" t="n"/>
      <c r="C497" s="9" t="n"/>
      <c r="D497" s="17" t="n"/>
      <c r="E497" s="17" t="n"/>
      <c r="F497" s="10">
        <f>IF(OR($D497="",$E497=""),"",ROUND(MOD($E497-$D497,1)*24,2))</f>
        <v/>
      </c>
      <c r="G497" s="9" t="n"/>
      <c r="H497" s="10" t="n"/>
      <c r="I497" s="10">
        <f>IF($G497="Approved",IF($H497="",IF($F497="",0,$F497),$H497),0)</f>
        <v/>
      </c>
      <c r="J497" s="9" t="n"/>
      <c r="K497" s="9" t="n"/>
      <c r="L497" s="9" t="n"/>
    </row>
    <row r="498">
      <c r="A498" s="15" t="n"/>
      <c r="B498" s="9" t="n"/>
      <c r="C498" s="9" t="n"/>
      <c r="D498" s="17" t="n"/>
      <c r="E498" s="17" t="n"/>
      <c r="F498" s="10">
        <f>IF(OR($D498="",$E498=""),"",ROUND(MOD($E498-$D498,1)*24,2))</f>
        <v/>
      </c>
      <c r="G498" s="9" t="n"/>
      <c r="H498" s="10" t="n"/>
      <c r="I498" s="10">
        <f>IF($G498="Approved",IF($H498="",IF($F498="",0,$F498),$H498),0)</f>
        <v/>
      </c>
      <c r="J498" s="9" t="n"/>
      <c r="K498" s="9" t="n"/>
      <c r="L498" s="9" t="n"/>
    </row>
    <row r="499">
      <c r="A499" s="15" t="n"/>
      <c r="B499" s="9" t="n"/>
      <c r="C499" s="9" t="n"/>
      <c r="D499" s="17" t="n"/>
      <c r="E499" s="17" t="n"/>
      <c r="F499" s="10">
        <f>IF(OR($D499="",$E499=""),"",ROUND(MOD($E499-$D499,1)*24,2))</f>
        <v/>
      </c>
      <c r="G499" s="9" t="n"/>
      <c r="H499" s="10" t="n"/>
      <c r="I499" s="10">
        <f>IF($G499="Approved",IF($H499="",IF($F499="",0,$F499),$H499),0)</f>
        <v/>
      </c>
      <c r="J499" s="9" t="n"/>
      <c r="K499" s="9" t="n"/>
      <c r="L499" s="9" t="n"/>
    </row>
    <row r="500">
      <c r="A500" s="15" t="n"/>
      <c r="B500" s="9" t="n"/>
      <c r="C500" s="9" t="n"/>
      <c r="D500" s="17" t="n"/>
      <c r="E500" s="17" t="n"/>
      <c r="F500" s="10">
        <f>IF(OR($D500="",$E500=""),"",ROUND(MOD($E500-$D500,1)*24,2))</f>
        <v/>
      </c>
      <c r="G500" s="9" t="n"/>
      <c r="H500" s="10" t="n"/>
      <c r="I500" s="10">
        <f>IF($G500="Approved",IF($H500="",IF($F500="",0,$F500),$H500),0)</f>
        <v/>
      </c>
      <c r="J500" s="9" t="n"/>
      <c r="K500" s="9" t="n"/>
      <c r="L500" s="9" t="n"/>
    </row>
    <row r="501">
      <c r="A501" s="15" t="n"/>
      <c r="B501" s="9" t="n"/>
      <c r="C501" s="9" t="n"/>
      <c r="D501" s="17" t="n"/>
      <c r="E501" s="17" t="n"/>
      <c r="F501" s="10">
        <f>IF(OR($D501="",$E501=""),"",ROUND(MOD($E501-$D501,1)*24,2))</f>
        <v/>
      </c>
      <c r="G501" s="9" t="n"/>
      <c r="H501" s="10" t="n"/>
      <c r="I501" s="10">
        <f>IF($G501="Approved",IF($H501="",IF($F501="",0,$F501),$H501),0)</f>
        <v/>
      </c>
      <c r="J501" s="9" t="n"/>
      <c r="K501" s="9" t="n"/>
      <c r="L501" s="9" t="n"/>
    </row>
    <row r="502">
      <c r="A502" s="15" t="n"/>
      <c r="B502" s="9" t="n"/>
      <c r="C502" s="9" t="n"/>
      <c r="D502" s="17" t="n"/>
      <c r="E502" s="17" t="n"/>
      <c r="F502" s="10">
        <f>IF(OR($D502="",$E502=""),"",ROUND(MOD($E502-$D502,1)*24,2))</f>
        <v/>
      </c>
      <c r="G502" s="9" t="n"/>
      <c r="H502" s="10" t="n"/>
      <c r="I502" s="10">
        <f>IF($G502="Approved",IF($H502="",IF($F502="",0,$F502),$H502),0)</f>
        <v/>
      </c>
      <c r="J502" s="9" t="n"/>
      <c r="K502" s="9" t="n"/>
      <c r="L502" s="9" t="n"/>
    </row>
    <row r="503">
      <c r="A503" s="15" t="n"/>
      <c r="B503" s="9" t="n"/>
      <c r="C503" s="9" t="n"/>
      <c r="D503" s="17" t="n"/>
      <c r="E503" s="17" t="n"/>
      <c r="F503" s="10">
        <f>IF(OR($D503="",$E503=""),"",ROUND(MOD($E503-$D503,1)*24,2))</f>
        <v/>
      </c>
      <c r="G503" s="9" t="n"/>
      <c r="H503" s="10" t="n"/>
      <c r="I503" s="10">
        <f>IF($G503="Approved",IF($H503="",IF($F503="",0,$F503),$H503),0)</f>
        <v/>
      </c>
      <c r="J503" s="9" t="n"/>
      <c r="K503" s="9" t="n"/>
      <c r="L503" s="9" t="n"/>
    </row>
    <row r="504">
      <c r="A504" s="15" t="n"/>
      <c r="B504" s="9" t="n"/>
      <c r="C504" s="9" t="n"/>
      <c r="D504" s="17" t="n"/>
      <c r="E504" s="17" t="n"/>
      <c r="F504" s="10">
        <f>IF(OR($D504="",$E504=""),"",ROUND(MOD($E504-$D504,1)*24,2))</f>
        <v/>
      </c>
      <c r="G504" s="9" t="n"/>
      <c r="H504" s="10" t="n"/>
      <c r="I504" s="10">
        <f>IF($G504="Approved",IF($H504="",IF($F504="",0,$F504),$H504),0)</f>
        <v/>
      </c>
      <c r="J504" s="9" t="n"/>
      <c r="K504" s="9" t="n"/>
      <c r="L504" s="9" t="n"/>
    </row>
    <row r="505">
      <c r="A505" s="15" t="n"/>
      <c r="B505" s="9" t="n"/>
      <c r="C505" s="9" t="n"/>
      <c r="D505" s="17" t="n"/>
      <c r="E505" s="17" t="n"/>
      <c r="F505" s="10">
        <f>IF(OR($D505="",$E505=""),"",ROUND(MOD($E505-$D505,1)*24,2))</f>
        <v/>
      </c>
      <c r="G505" s="9" t="n"/>
      <c r="H505" s="10" t="n"/>
      <c r="I505" s="10">
        <f>IF($G505="Approved",IF($H505="",IF($F505="",0,$F505),$H505),0)</f>
        <v/>
      </c>
      <c r="J505" s="9" t="n"/>
      <c r="K505" s="9" t="n"/>
      <c r="L505" s="9" t="n"/>
    </row>
    <row r="506">
      <c r="A506" s="15" t="n"/>
      <c r="B506" s="9" t="n"/>
      <c r="C506" s="9" t="n"/>
      <c r="D506" s="17" t="n"/>
      <c r="E506" s="17" t="n"/>
      <c r="F506" s="10">
        <f>IF(OR($D506="",$E506=""),"",ROUND(MOD($E506-$D506,1)*24,2))</f>
        <v/>
      </c>
      <c r="G506" s="9" t="n"/>
      <c r="H506" s="10" t="n"/>
      <c r="I506" s="10">
        <f>IF($G506="Approved",IF($H506="",IF($F506="",0,$F506),$H506),0)</f>
        <v/>
      </c>
      <c r="J506" s="9" t="n"/>
      <c r="K506" s="9" t="n"/>
      <c r="L506" s="9" t="n"/>
    </row>
    <row r="507">
      <c r="A507" s="15" t="n"/>
      <c r="B507" s="9" t="n"/>
      <c r="C507" s="9" t="n"/>
      <c r="D507" s="17" t="n"/>
      <c r="E507" s="17" t="n"/>
      <c r="F507" s="10">
        <f>IF(OR($D507="",$E507=""),"",ROUND(MOD($E507-$D507,1)*24,2))</f>
        <v/>
      </c>
      <c r="G507" s="9" t="n"/>
      <c r="H507" s="10" t="n"/>
      <c r="I507" s="10">
        <f>IF($G507="Approved",IF($H507="",IF($F507="",0,$F507),$H507),0)</f>
        <v/>
      </c>
      <c r="J507" s="9" t="n"/>
      <c r="K507" s="9" t="n"/>
      <c r="L507" s="9" t="n"/>
    </row>
    <row r="508">
      <c r="A508" s="15" t="n"/>
      <c r="B508" s="9" t="n"/>
      <c r="C508" s="9" t="n"/>
      <c r="D508" s="17" t="n"/>
      <c r="E508" s="17" t="n"/>
      <c r="F508" s="10">
        <f>IF(OR($D508="",$E508=""),"",ROUND(MOD($E508-$D508,1)*24,2))</f>
        <v/>
      </c>
      <c r="G508" s="9" t="n"/>
      <c r="H508" s="10" t="n"/>
      <c r="I508" s="10">
        <f>IF($G508="Approved",IF($H508="",IF($F508="",0,$F508),$H508),0)</f>
        <v/>
      </c>
      <c r="J508" s="9" t="n"/>
      <c r="K508" s="9" t="n"/>
      <c r="L508" s="9" t="n"/>
    </row>
    <row r="509">
      <c r="A509" s="15" t="n"/>
      <c r="B509" s="9" t="n"/>
      <c r="C509" s="9" t="n"/>
      <c r="D509" s="17" t="n"/>
      <c r="E509" s="17" t="n"/>
      <c r="F509" s="10">
        <f>IF(OR($D509="",$E509=""),"",ROUND(MOD($E509-$D509,1)*24,2))</f>
        <v/>
      </c>
      <c r="G509" s="9" t="n"/>
      <c r="H509" s="10" t="n"/>
      <c r="I509" s="10">
        <f>IF($G509="Approved",IF($H509="",IF($F509="",0,$F509),$H509),0)</f>
        <v/>
      </c>
      <c r="J509" s="9" t="n"/>
      <c r="K509" s="9" t="n"/>
      <c r="L509" s="9" t="n"/>
    </row>
    <row r="510">
      <c r="A510" s="15" t="n"/>
      <c r="B510" s="9" t="n"/>
      <c r="C510" s="9" t="n"/>
      <c r="D510" s="17" t="n"/>
      <c r="E510" s="17" t="n"/>
      <c r="F510" s="10">
        <f>IF(OR($D510="",$E510=""),"",ROUND(MOD($E510-$D510,1)*24,2))</f>
        <v/>
      </c>
      <c r="G510" s="9" t="n"/>
      <c r="H510" s="10" t="n"/>
      <c r="I510" s="10">
        <f>IF($G510="Approved",IF($H510="",IF($F510="",0,$F510),$H510),0)</f>
        <v/>
      </c>
      <c r="J510" s="9" t="n"/>
      <c r="K510" s="9" t="n"/>
      <c r="L510" s="9" t="n"/>
    </row>
    <row r="511">
      <c r="A511" s="15" t="n"/>
      <c r="B511" s="9" t="n"/>
      <c r="C511" s="9" t="n"/>
      <c r="D511" s="17" t="n"/>
      <c r="E511" s="17" t="n"/>
      <c r="F511" s="10">
        <f>IF(OR($D511="",$E511=""),"",ROUND(MOD($E511-$D511,1)*24,2))</f>
        <v/>
      </c>
      <c r="G511" s="9" t="n"/>
      <c r="H511" s="10" t="n"/>
      <c r="I511" s="10">
        <f>IF($G511="Approved",IF($H511="",IF($F511="",0,$F511),$H511),0)</f>
        <v/>
      </c>
      <c r="J511" s="9" t="n"/>
      <c r="K511" s="9" t="n"/>
      <c r="L511" s="9" t="n"/>
    </row>
    <row r="512">
      <c r="A512" s="15" t="n"/>
      <c r="B512" s="9" t="n"/>
      <c r="C512" s="9" t="n"/>
      <c r="D512" s="17" t="n"/>
      <c r="E512" s="17" t="n"/>
      <c r="F512" s="10">
        <f>IF(OR($D512="",$E512=""),"",ROUND(MOD($E512-$D512,1)*24,2))</f>
        <v/>
      </c>
      <c r="G512" s="9" t="n"/>
      <c r="H512" s="10" t="n"/>
      <c r="I512" s="10">
        <f>IF($G512="Approved",IF($H512="",IF($F512="",0,$F512),$H512),0)</f>
        <v/>
      </c>
      <c r="J512" s="9" t="n"/>
      <c r="K512" s="9" t="n"/>
      <c r="L512" s="9" t="n"/>
    </row>
    <row r="513">
      <c r="A513" s="15" t="n"/>
      <c r="B513" s="9" t="n"/>
      <c r="C513" s="9" t="n"/>
      <c r="D513" s="17" t="n"/>
      <c r="E513" s="17" t="n"/>
      <c r="F513" s="10">
        <f>IF(OR($D513="",$E513=""),"",ROUND(MOD($E513-$D513,1)*24,2))</f>
        <v/>
      </c>
      <c r="G513" s="9" t="n"/>
      <c r="H513" s="10" t="n"/>
      <c r="I513" s="10">
        <f>IF($G513="Approved",IF($H513="",IF($F513="",0,$F513),$H513),0)</f>
        <v/>
      </c>
      <c r="J513" s="9" t="n"/>
      <c r="K513" s="9" t="n"/>
      <c r="L513" s="9" t="n"/>
    </row>
    <row r="514">
      <c r="A514" s="15" t="n"/>
      <c r="B514" s="9" t="n"/>
      <c r="C514" s="9" t="n"/>
      <c r="D514" s="17" t="n"/>
      <c r="E514" s="17" t="n"/>
      <c r="F514" s="10">
        <f>IF(OR($D514="",$E514=""),"",ROUND(MOD($E514-$D514,1)*24,2))</f>
        <v/>
      </c>
      <c r="G514" s="9" t="n"/>
      <c r="H514" s="10" t="n"/>
      <c r="I514" s="10">
        <f>IF($G514="Approved",IF($H514="",IF($F514="",0,$F514),$H514),0)</f>
        <v/>
      </c>
      <c r="J514" s="9" t="n"/>
      <c r="K514" s="9" t="n"/>
      <c r="L514" s="9" t="n"/>
    </row>
    <row r="515">
      <c r="A515" s="15" t="n"/>
      <c r="B515" s="9" t="n"/>
      <c r="C515" s="9" t="n"/>
      <c r="D515" s="17" t="n"/>
      <c r="E515" s="17" t="n"/>
      <c r="F515" s="10">
        <f>IF(OR($D515="",$E515=""),"",ROUND(MOD($E515-$D515,1)*24,2))</f>
        <v/>
      </c>
      <c r="G515" s="9" t="n"/>
      <c r="H515" s="10" t="n"/>
      <c r="I515" s="10">
        <f>IF($G515="Approved",IF($H515="",IF($F515="",0,$F515),$H515),0)</f>
        <v/>
      </c>
      <c r="J515" s="9" t="n"/>
      <c r="K515" s="9" t="n"/>
      <c r="L515" s="9" t="n"/>
    </row>
    <row r="516">
      <c r="A516" s="15" t="n"/>
      <c r="B516" s="9" t="n"/>
      <c r="C516" s="9" t="n"/>
      <c r="D516" s="17" t="n"/>
      <c r="E516" s="17" t="n"/>
      <c r="F516" s="10">
        <f>IF(OR($D516="",$E516=""),"",ROUND(MOD($E516-$D516,1)*24,2))</f>
        <v/>
      </c>
      <c r="G516" s="9" t="n"/>
      <c r="H516" s="10" t="n"/>
      <c r="I516" s="10">
        <f>IF($G516="Approved",IF($H516="",IF($F516="",0,$F516),$H516),0)</f>
        <v/>
      </c>
      <c r="J516" s="9" t="n"/>
      <c r="K516" s="9" t="n"/>
      <c r="L516" s="9" t="n"/>
    </row>
    <row r="517">
      <c r="A517" s="15" t="n"/>
      <c r="B517" s="9" t="n"/>
      <c r="C517" s="9" t="n"/>
      <c r="D517" s="17" t="n"/>
      <c r="E517" s="17" t="n"/>
      <c r="F517" s="10">
        <f>IF(OR($D517="",$E517=""),"",ROUND(MOD($E517-$D517,1)*24,2))</f>
        <v/>
      </c>
      <c r="G517" s="9" t="n"/>
      <c r="H517" s="10" t="n"/>
      <c r="I517" s="10">
        <f>IF($G517="Approved",IF($H517="",IF($F517="",0,$F517),$H517),0)</f>
        <v/>
      </c>
      <c r="J517" s="9" t="n"/>
      <c r="K517" s="9" t="n"/>
      <c r="L517" s="9" t="n"/>
    </row>
    <row r="518">
      <c r="A518" s="15" t="n"/>
      <c r="B518" s="9" t="n"/>
      <c r="C518" s="9" t="n"/>
      <c r="D518" s="17" t="n"/>
      <c r="E518" s="17" t="n"/>
      <c r="F518" s="10">
        <f>IF(OR($D518="",$E518=""),"",ROUND(MOD($E518-$D518,1)*24,2))</f>
        <v/>
      </c>
      <c r="G518" s="9" t="n"/>
      <c r="H518" s="10" t="n"/>
      <c r="I518" s="10">
        <f>IF($G518="Approved",IF($H518="",IF($F518="",0,$F518),$H518),0)</f>
        <v/>
      </c>
      <c r="J518" s="9" t="n"/>
      <c r="K518" s="9" t="n"/>
      <c r="L518" s="9" t="n"/>
    </row>
    <row r="519">
      <c r="A519" s="15" t="n"/>
      <c r="B519" s="9" t="n"/>
      <c r="C519" s="9" t="n"/>
      <c r="D519" s="17" t="n"/>
      <c r="E519" s="17" t="n"/>
      <c r="F519" s="10">
        <f>IF(OR($D519="",$E519=""),"",ROUND(MOD($E519-$D519,1)*24,2))</f>
        <v/>
      </c>
      <c r="G519" s="9" t="n"/>
      <c r="H519" s="10" t="n"/>
      <c r="I519" s="10">
        <f>IF($G519="Approved",IF($H519="",IF($F519="",0,$F519),$H519),0)</f>
        <v/>
      </c>
      <c r="J519" s="9" t="n"/>
      <c r="K519" s="9" t="n"/>
      <c r="L519" s="9" t="n"/>
    </row>
    <row r="520">
      <c r="A520" s="15" t="n"/>
      <c r="B520" s="9" t="n"/>
      <c r="C520" s="9" t="n"/>
      <c r="D520" s="17" t="n"/>
      <c r="E520" s="17" t="n"/>
      <c r="F520" s="10">
        <f>IF(OR($D520="",$E520=""),"",ROUND(MOD($E520-$D520,1)*24,2))</f>
        <v/>
      </c>
      <c r="G520" s="9" t="n"/>
      <c r="H520" s="10" t="n"/>
      <c r="I520" s="10">
        <f>IF($G520="Approved",IF($H520="",IF($F520="",0,$F520),$H520),0)</f>
        <v/>
      </c>
      <c r="J520" s="9" t="n"/>
      <c r="K520" s="9" t="n"/>
      <c r="L520" s="9" t="n"/>
    </row>
    <row r="521">
      <c r="A521" s="15" t="n"/>
      <c r="B521" s="9" t="n"/>
      <c r="C521" s="9" t="n"/>
      <c r="D521" s="17" t="n"/>
      <c r="E521" s="17" t="n"/>
      <c r="F521" s="10">
        <f>IF(OR($D521="",$E521=""),"",ROUND(MOD($E521-$D521,1)*24,2))</f>
        <v/>
      </c>
      <c r="G521" s="9" t="n"/>
      <c r="H521" s="10" t="n"/>
      <c r="I521" s="10">
        <f>IF($G521="Approved",IF($H521="",IF($F521="",0,$F521),$H521),0)</f>
        <v/>
      </c>
      <c r="J521" s="9" t="n"/>
      <c r="K521" s="9" t="n"/>
      <c r="L521" s="9" t="n"/>
    </row>
    <row r="522">
      <c r="A522" s="15" t="n"/>
      <c r="B522" s="9" t="n"/>
      <c r="C522" s="9" t="n"/>
      <c r="D522" s="17" t="n"/>
      <c r="E522" s="17" t="n"/>
      <c r="F522" s="10">
        <f>IF(OR($D522="",$E522=""),"",ROUND(MOD($E522-$D522,1)*24,2))</f>
        <v/>
      </c>
      <c r="G522" s="9" t="n"/>
      <c r="H522" s="10" t="n"/>
      <c r="I522" s="10">
        <f>IF($G522="Approved",IF($H522="",IF($F522="",0,$F522),$H522),0)</f>
        <v/>
      </c>
      <c r="J522" s="9" t="n"/>
      <c r="K522" s="9" t="n"/>
      <c r="L522" s="9" t="n"/>
    </row>
    <row r="523">
      <c r="A523" s="15" t="n"/>
      <c r="B523" s="9" t="n"/>
      <c r="C523" s="9" t="n"/>
      <c r="D523" s="17" t="n"/>
      <c r="E523" s="17" t="n"/>
      <c r="F523" s="10">
        <f>IF(OR($D523="",$E523=""),"",ROUND(MOD($E523-$D523,1)*24,2))</f>
        <v/>
      </c>
      <c r="G523" s="9" t="n"/>
      <c r="H523" s="10" t="n"/>
      <c r="I523" s="10">
        <f>IF($G523="Approved",IF($H523="",IF($F523="",0,$F523),$H523),0)</f>
        <v/>
      </c>
      <c r="J523" s="9" t="n"/>
      <c r="K523" s="9" t="n"/>
      <c r="L523" s="9" t="n"/>
    </row>
    <row r="524">
      <c r="A524" s="15" t="n"/>
      <c r="B524" s="9" t="n"/>
      <c r="C524" s="9" t="n"/>
      <c r="D524" s="17" t="n"/>
      <c r="E524" s="17" t="n"/>
      <c r="F524" s="10">
        <f>IF(OR($D524="",$E524=""),"",ROUND(MOD($E524-$D524,1)*24,2))</f>
        <v/>
      </c>
      <c r="G524" s="9" t="n"/>
      <c r="H524" s="10" t="n"/>
      <c r="I524" s="10">
        <f>IF($G524="Approved",IF($H524="",IF($F524="",0,$F524),$H524),0)</f>
        <v/>
      </c>
      <c r="J524" s="9" t="n"/>
      <c r="K524" s="9" t="n"/>
      <c r="L524" s="9" t="n"/>
    </row>
    <row r="525">
      <c r="A525" s="15" t="n"/>
      <c r="B525" s="9" t="n"/>
      <c r="C525" s="9" t="n"/>
      <c r="D525" s="17" t="n"/>
      <c r="E525" s="17" t="n"/>
      <c r="F525" s="10">
        <f>IF(OR($D525="",$E525=""),"",ROUND(MOD($E525-$D525,1)*24,2))</f>
        <v/>
      </c>
      <c r="G525" s="9" t="n"/>
      <c r="H525" s="10" t="n"/>
      <c r="I525" s="10">
        <f>IF($G525="Approved",IF($H525="",IF($F525="",0,$F525),$H525),0)</f>
        <v/>
      </c>
      <c r="J525" s="9" t="n"/>
      <c r="K525" s="9" t="n"/>
      <c r="L525" s="9" t="n"/>
    </row>
    <row r="526">
      <c r="A526" s="15" t="n"/>
      <c r="B526" s="9" t="n"/>
      <c r="C526" s="9" t="n"/>
      <c r="D526" s="17" t="n"/>
      <c r="E526" s="17" t="n"/>
      <c r="F526" s="10">
        <f>IF(OR($D526="",$E526=""),"",ROUND(MOD($E526-$D526,1)*24,2))</f>
        <v/>
      </c>
      <c r="G526" s="9" t="n"/>
      <c r="H526" s="10" t="n"/>
      <c r="I526" s="10">
        <f>IF($G526="Approved",IF($H526="",IF($F526="",0,$F526),$H526),0)</f>
        <v/>
      </c>
      <c r="J526" s="9" t="n"/>
      <c r="K526" s="9" t="n"/>
      <c r="L526" s="9" t="n"/>
    </row>
    <row r="527">
      <c r="A527" s="15" t="n"/>
      <c r="B527" s="9" t="n"/>
      <c r="C527" s="9" t="n"/>
      <c r="D527" s="17" t="n"/>
      <c r="E527" s="17" t="n"/>
      <c r="F527" s="10">
        <f>IF(OR($D527="",$E527=""),"",ROUND(MOD($E527-$D527,1)*24,2))</f>
        <v/>
      </c>
      <c r="G527" s="9" t="n"/>
      <c r="H527" s="10" t="n"/>
      <c r="I527" s="10">
        <f>IF($G527="Approved",IF($H527="",IF($F527="",0,$F527),$H527),0)</f>
        <v/>
      </c>
      <c r="J527" s="9" t="n"/>
      <c r="K527" s="9" t="n"/>
      <c r="L527" s="9" t="n"/>
    </row>
    <row r="528">
      <c r="A528" s="15" t="n"/>
      <c r="B528" s="9" t="n"/>
      <c r="C528" s="9" t="n"/>
      <c r="D528" s="17" t="n"/>
      <c r="E528" s="17" t="n"/>
      <c r="F528" s="10">
        <f>IF(OR($D528="",$E528=""),"",ROUND(MOD($E528-$D528,1)*24,2))</f>
        <v/>
      </c>
      <c r="G528" s="9" t="n"/>
      <c r="H528" s="10" t="n"/>
      <c r="I528" s="10">
        <f>IF($G528="Approved",IF($H528="",IF($F528="",0,$F528),$H528),0)</f>
        <v/>
      </c>
      <c r="J528" s="9" t="n"/>
      <c r="K528" s="9" t="n"/>
      <c r="L528" s="9" t="n"/>
    </row>
    <row r="529">
      <c r="A529" s="15" t="n"/>
      <c r="B529" s="9" t="n"/>
      <c r="C529" s="9" t="n"/>
      <c r="D529" s="17" t="n"/>
      <c r="E529" s="17" t="n"/>
      <c r="F529" s="10">
        <f>IF(OR($D529="",$E529=""),"",ROUND(MOD($E529-$D529,1)*24,2))</f>
        <v/>
      </c>
      <c r="G529" s="9" t="n"/>
      <c r="H529" s="10" t="n"/>
      <c r="I529" s="10">
        <f>IF($G529="Approved",IF($H529="",IF($F529="",0,$F529),$H529),0)</f>
        <v/>
      </c>
      <c r="J529" s="9" t="n"/>
      <c r="K529" s="9" t="n"/>
      <c r="L529" s="9" t="n"/>
    </row>
    <row r="530">
      <c r="A530" s="15" t="n"/>
      <c r="B530" s="9" t="n"/>
      <c r="C530" s="9" t="n"/>
      <c r="D530" s="17" t="n"/>
      <c r="E530" s="17" t="n"/>
      <c r="F530" s="10">
        <f>IF(OR($D530="",$E530=""),"",ROUND(MOD($E530-$D530,1)*24,2))</f>
        <v/>
      </c>
      <c r="G530" s="9" t="n"/>
      <c r="H530" s="10" t="n"/>
      <c r="I530" s="10">
        <f>IF($G530="Approved",IF($H530="",IF($F530="",0,$F530),$H530),0)</f>
        <v/>
      </c>
      <c r="J530" s="9" t="n"/>
      <c r="K530" s="9" t="n"/>
      <c r="L530" s="9" t="n"/>
    </row>
    <row r="531">
      <c r="A531" s="15" t="n"/>
      <c r="B531" s="9" t="n"/>
      <c r="C531" s="9" t="n"/>
      <c r="D531" s="17" t="n"/>
      <c r="E531" s="17" t="n"/>
      <c r="F531" s="10">
        <f>IF(OR($D531="",$E531=""),"",ROUND(MOD($E531-$D531,1)*24,2))</f>
        <v/>
      </c>
      <c r="G531" s="9" t="n"/>
      <c r="H531" s="10" t="n"/>
      <c r="I531" s="10">
        <f>IF($G531="Approved",IF($H531="",IF($F531="",0,$F531),$H531),0)</f>
        <v/>
      </c>
      <c r="J531" s="9" t="n"/>
      <c r="K531" s="9" t="n"/>
      <c r="L531" s="9" t="n"/>
    </row>
    <row r="532">
      <c r="A532" s="15" t="n"/>
      <c r="B532" s="9" t="n"/>
      <c r="C532" s="9" t="n"/>
      <c r="D532" s="17" t="n"/>
      <c r="E532" s="17" t="n"/>
      <c r="F532" s="10">
        <f>IF(OR($D532="",$E532=""),"",ROUND(MOD($E532-$D532,1)*24,2))</f>
        <v/>
      </c>
      <c r="G532" s="9" t="n"/>
      <c r="H532" s="10" t="n"/>
      <c r="I532" s="10">
        <f>IF($G532="Approved",IF($H532="",IF($F532="",0,$F532),$H532),0)</f>
        <v/>
      </c>
      <c r="J532" s="9" t="n"/>
      <c r="K532" s="9" t="n"/>
      <c r="L532" s="9" t="n"/>
    </row>
    <row r="533">
      <c r="A533" s="15" t="n"/>
      <c r="B533" s="9" t="n"/>
      <c r="C533" s="9" t="n"/>
      <c r="D533" s="17" t="n"/>
      <c r="E533" s="17" t="n"/>
      <c r="F533" s="10">
        <f>IF(OR($D533="",$E533=""),"",ROUND(MOD($E533-$D533,1)*24,2))</f>
        <v/>
      </c>
      <c r="G533" s="9" t="n"/>
      <c r="H533" s="10" t="n"/>
      <c r="I533" s="10">
        <f>IF($G533="Approved",IF($H533="",IF($F533="",0,$F533),$H533),0)</f>
        <v/>
      </c>
      <c r="J533" s="9" t="n"/>
      <c r="K533" s="9" t="n"/>
      <c r="L533" s="9" t="n"/>
    </row>
    <row r="534">
      <c r="A534" s="15" t="n"/>
      <c r="B534" s="9" t="n"/>
      <c r="C534" s="9" t="n"/>
      <c r="D534" s="17" t="n"/>
      <c r="E534" s="17" t="n"/>
      <c r="F534" s="10">
        <f>IF(OR($D534="",$E534=""),"",ROUND(MOD($E534-$D534,1)*24,2))</f>
        <v/>
      </c>
      <c r="G534" s="9" t="n"/>
      <c r="H534" s="10" t="n"/>
      <c r="I534" s="10">
        <f>IF($G534="Approved",IF($H534="",IF($F534="",0,$F534),$H534),0)</f>
        <v/>
      </c>
      <c r="J534" s="9" t="n"/>
      <c r="K534" s="9" t="n"/>
      <c r="L534" s="9" t="n"/>
    </row>
    <row r="535">
      <c r="A535" s="15" t="n"/>
      <c r="B535" s="9" t="n"/>
      <c r="C535" s="9" t="n"/>
      <c r="D535" s="17" t="n"/>
      <c r="E535" s="17" t="n"/>
      <c r="F535" s="10">
        <f>IF(OR($D535="",$E535=""),"",ROUND(MOD($E535-$D535,1)*24,2))</f>
        <v/>
      </c>
      <c r="G535" s="9" t="n"/>
      <c r="H535" s="10" t="n"/>
      <c r="I535" s="10">
        <f>IF($G535="Approved",IF($H535="",IF($F535="",0,$F535),$H535),0)</f>
        <v/>
      </c>
      <c r="J535" s="9" t="n"/>
      <c r="K535" s="9" t="n"/>
      <c r="L535" s="9" t="n"/>
    </row>
    <row r="536">
      <c r="A536" s="15" t="n"/>
      <c r="B536" s="9" t="n"/>
      <c r="C536" s="9" t="n"/>
      <c r="D536" s="17" t="n"/>
      <c r="E536" s="17" t="n"/>
      <c r="F536" s="10">
        <f>IF(OR($D536="",$E536=""),"",ROUND(MOD($E536-$D536,1)*24,2))</f>
        <v/>
      </c>
      <c r="G536" s="9" t="n"/>
      <c r="H536" s="10" t="n"/>
      <c r="I536" s="10">
        <f>IF($G536="Approved",IF($H536="",IF($F536="",0,$F536),$H536),0)</f>
        <v/>
      </c>
      <c r="J536" s="9" t="n"/>
      <c r="K536" s="9" t="n"/>
      <c r="L536" s="9" t="n"/>
    </row>
    <row r="537">
      <c r="A537" s="15" t="n"/>
      <c r="B537" s="9" t="n"/>
      <c r="C537" s="9" t="n"/>
      <c r="D537" s="17" t="n"/>
      <c r="E537" s="17" t="n"/>
      <c r="F537" s="10">
        <f>IF(OR($D537="",$E537=""),"",ROUND(MOD($E537-$D537,1)*24,2))</f>
        <v/>
      </c>
      <c r="G537" s="9" t="n"/>
      <c r="H537" s="10" t="n"/>
      <c r="I537" s="10">
        <f>IF($G537="Approved",IF($H537="",IF($F537="",0,$F537),$H537),0)</f>
        <v/>
      </c>
      <c r="J537" s="9" t="n"/>
      <c r="K537" s="9" t="n"/>
      <c r="L537" s="9" t="n"/>
    </row>
    <row r="538">
      <c r="A538" s="15" t="n"/>
      <c r="B538" s="9" t="n"/>
      <c r="C538" s="9" t="n"/>
      <c r="D538" s="17" t="n"/>
      <c r="E538" s="17" t="n"/>
      <c r="F538" s="10">
        <f>IF(OR($D538="",$E538=""),"",ROUND(MOD($E538-$D538,1)*24,2))</f>
        <v/>
      </c>
      <c r="G538" s="9" t="n"/>
      <c r="H538" s="10" t="n"/>
      <c r="I538" s="10">
        <f>IF($G538="Approved",IF($H538="",IF($F538="",0,$F538),$H538),0)</f>
        <v/>
      </c>
      <c r="J538" s="9" t="n"/>
      <c r="K538" s="9" t="n"/>
      <c r="L538" s="9" t="n"/>
    </row>
    <row r="539">
      <c r="A539" s="15" t="n"/>
      <c r="B539" s="9" t="n"/>
      <c r="C539" s="9" t="n"/>
      <c r="D539" s="17" t="n"/>
      <c r="E539" s="17" t="n"/>
      <c r="F539" s="10">
        <f>IF(OR($D539="",$E539=""),"",ROUND(MOD($E539-$D539,1)*24,2))</f>
        <v/>
      </c>
      <c r="G539" s="9" t="n"/>
      <c r="H539" s="10" t="n"/>
      <c r="I539" s="10">
        <f>IF($G539="Approved",IF($H539="",IF($F539="",0,$F539),$H539),0)</f>
        <v/>
      </c>
      <c r="J539" s="9" t="n"/>
      <c r="K539" s="9" t="n"/>
      <c r="L539" s="9" t="n"/>
    </row>
    <row r="540">
      <c r="A540" s="15" t="n"/>
      <c r="B540" s="9" t="n"/>
      <c r="C540" s="9" t="n"/>
      <c r="D540" s="17" t="n"/>
      <c r="E540" s="17" t="n"/>
      <c r="F540" s="10">
        <f>IF(OR($D540="",$E540=""),"",ROUND(MOD($E540-$D540,1)*24,2))</f>
        <v/>
      </c>
      <c r="G540" s="9" t="n"/>
      <c r="H540" s="10" t="n"/>
      <c r="I540" s="10">
        <f>IF($G540="Approved",IF($H540="",IF($F540="",0,$F540),$H540),0)</f>
        <v/>
      </c>
      <c r="J540" s="9" t="n"/>
      <c r="K540" s="9" t="n"/>
      <c r="L540" s="9" t="n"/>
    </row>
    <row r="541">
      <c r="A541" s="15" t="n"/>
      <c r="B541" s="9" t="n"/>
      <c r="C541" s="9" t="n"/>
      <c r="D541" s="17" t="n"/>
      <c r="E541" s="17" t="n"/>
      <c r="F541" s="10">
        <f>IF(OR($D541="",$E541=""),"",ROUND(MOD($E541-$D541,1)*24,2))</f>
        <v/>
      </c>
      <c r="G541" s="9" t="n"/>
      <c r="H541" s="10" t="n"/>
      <c r="I541" s="10">
        <f>IF($G541="Approved",IF($H541="",IF($F541="",0,$F541),$H541),0)</f>
        <v/>
      </c>
      <c r="J541" s="9" t="n"/>
      <c r="K541" s="9" t="n"/>
      <c r="L541" s="9" t="n"/>
    </row>
    <row r="542">
      <c r="A542" s="15" t="n"/>
      <c r="B542" s="9" t="n"/>
      <c r="C542" s="9" t="n"/>
      <c r="D542" s="17" t="n"/>
      <c r="E542" s="17" t="n"/>
      <c r="F542" s="10">
        <f>IF(OR($D542="",$E542=""),"",ROUND(MOD($E542-$D542,1)*24,2))</f>
        <v/>
      </c>
      <c r="G542" s="9" t="n"/>
      <c r="H542" s="10" t="n"/>
      <c r="I542" s="10">
        <f>IF($G542="Approved",IF($H542="",IF($F542="",0,$F542),$H542),0)</f>
        <v/>
      </c>
      <c r="J542" s="9" t="n"/>
      <c r="K542" s="9" t="n"/>
      <c r="L542" s="9" t="n"/>
    </row>
    <row r="543">
      <c r="A543" s="15" t="n"/>
      <c r="B543" s="9" t="n"/>
      <c r="C543" s="9" t="n"/>
      <c r="D543" s="17" t="n"/>
      <c r="E543" s="17" t="n"/>
      <c r="F543" s="10">
        <f>IF(OR($D543="",$E543=""),"",ROUND(MOD($E543-$D543,1)*24,2))</f>
        <v/>
      </c>
      <c r="G543" s="9" t="n"/>
      <c r="H543" s="10" t="n"/>
      <c r="I543" s="10">
        <f>IF($G543="Approved",IF($H543="",IF($F543="",0,$F543),$H543),0)</f>
        <v/>
      </c>
      <c r="J543" s="9" t="n"/>
      <c r="K543" s="9" t="n"/>
      <c r="L543" s="9" t="n"/>
    </row>
    <row r="544">
      <c r="A544" s="15" t="n"/>
      <c r="B544" s="9" t="n"/>
      <c r="C544" s="9" t="n"/>
      <c r="D544" s="17" t="n"/>
      <c r="E544" s="17" t="n"/>
      <c r="F544" s="10">
        <f>IF(OR($D544="",$E544=""),"",ROUND(MOD($E544-$D544,1)*24,2))</f>
        <v/>
      </c>
      <c r="G544" s="9" t="n"/>
      <c r="H544" s="10" t="n"/>
      <c r="I544" s="10">
        <f>IF($G544="Approved",IF($H544="",IF($F544="",0,$F544),$H544),0)</f>
        <v/>
      </c>
      <c r="J544" s="9" t="n"/>
      <c r="K544" s="9" t="n"/>
      <c r="L544" s="9" t="n"/>
    </row>
    <row r="545">
      <c r="A545" s="15" t="n"/>
      <c r="B545" s="9" t="n"/>
      <c r="C545" s="9" t="n"/>
      <c r="D545" s="17" t="n"/>
      <c r="E545" s="17" t="n"/>
      <c r="F545" s="10">
        <f>IF(OR($D545="",$E545=""),"",ROUND(MOD($E545-$D545,1)*24,2))</f>
        <v/>
      </c>
      <c r="G545" s="9" t="n"/>
      <c r="H545" s="10" t="n"/>
      <c r="I545" s="10">
        <f>IF($G545="Approved",IF($H545="",IF($F545="",0,$F545),$H545),0)</f>
        <v/>
      </c>
      <c r="J545" s="9" t="n"/>
      <c r="K545" s="9" t="n"/>
      <c r="L545" s="9" t="n"/>
    </row>
    <row r="546">
      <c r="A546" s="15" t="n"/>
      <c r="B546" s="9" t="n"/>
      <c r="C546" s="9" t="n"/>
      <c r="D546" s="17" t="n"/>
      <c r="E546" s="17" t="n"/>
      <c r="F546" s="10">
        <f>IF(OR($D546="",$E546=""),"",ROUND(MOD($E546-$D546,1)*24,2))</f>
        <v/>
      </c>
      <c r="G546" s="9" t="n"/>
      <c r="H546" s="10" t="n"/>
      <c r="I546" s="10">
        <f>IF($G546="Approved",IF($H546="",IF($F546="",0,$F546),$H546),0)</f>
        <v/>
      </c>
      <c r="J546" s="9" t="n"/>
      <c r="K546" s="9" t="n"/>
      <c r="L546" s="9" t="n"/>
    </row>
    <row r="547">
      <c r="A547" s="15" t="n"/>
      <c r="B547" s="9" t="n"/>
      <c r="C547" s="9" t="n"/>
      <c r="D547" s="17" t="n"/>
      <c r="E547" s="17" t="n"/>
      <c r="F547" s="10">
        <f>IF(OR($D547="",$E547=""),"",ROUND(MOD($E547-$D547,1)*24,2))</f>
        <v/>
      </c>
      <c r="G547" s="9" t="n"/>
      <c r="H547" s="10" t="n"/>
      <c r="I547" s="10">
        <f>IF($G547="Approved",IF($H547="",IF($F547="",0,$F547),$H547),0)</f>
        <v/>
      </c>
      <c r="J547" s="9" t="n"/>
      <c r="K547" s="9" t="n"/>
      <c r="L547" s="9" t="n"/>
    </row>
    <row r="548">
      <c r="A548" s="15" t="n"/>
      <c r="B548" s="9" t="n"/>
      <c r="C548" s="9" t="n"/>
      <c r="D548" s="17" t="n"/>
      <c r="E548" s="17" t="n"/>
      <c r="F548" s="10">
        <f>IF(OR($D548="",$E548=""),"",ROUND(MOD($E548-$D548,1)*24,2))</f>
        <v/>
      </c>
      <c r="G548" s="9" t="n"/>
      <c r="H548" s="10" t="n"/>
      <c r="I548" s="10">
        <f>IF($G548="Approved",IF($H548="",IF($F548="",0,$F548),$H548),0)</f>
        <v/>
      </c>
      <c r="J548" s="9" t="n"/>
      <c r="K548" s="9" t="n"/>
      <c r="L548" s="9" t="n"/>
    </row>
    <row r="549">
      <c r="A549" s="15" t="n"/>
      <c r="B549" s="9" t="n"/>
      <c r="C549" s="9" t="n"/>
      <c r="D549" s="17" t="n"/>
      <c r="E549" s="17" t="n"/>
      <c r="F549" s="10">
        <f>IF(OR($D549="",$E549=""),"",ROUND(MOD($E549-$D549,1)*24,2))</f>
        <v/>
      </c>
      <c r="G549" s="9" t="n"/>
      <c r="H549" s="10" t="n"/>
      <c r="I549" s="10">
        <f>IF($G549="Approved",IF($H549="",IF($F549="",0,$F549),$H549),0)</f>
        <v/>
      </c>
      <c r="J549" s="9" t="n"/>
      <c r="K549" s="9" t="n"/>
      <c r="L549" s="9" t="n"/>
    </row>
    <row r="550">
      <c r="A550" s="15" t="n"/>
      <c r="B550" s="9" t="n"/>
      <c r="C550" s="9" t="n"/>
      <c r="D550" s="17" t="n"/>
      <c r="E550" s="17" t="n"/>
      <c r="F550" s="10">
        <f>IF(OR($D550="",$E550=""),"",ROUND(MOD($E550-$D550,1)*24,2))</f>
        <v/>
      </c>
      <c r="G550" s="9" t="n"/>
      <c r="H550" s="10" t="n"/>
      <c r="I550" s="10">
        <f>IF($G550="Approved",IF($H550="",IF($F550="",0,$F550),$H550),0)</f>
        <v/>
      </c>
      <c r="J550" s="9" t="n"/>
      <c r="K550" s="9" t="n"/>
      <c r="L550" s="9" t="n"/>
    </row>
    <row r="551">
      <c r="A551" s="15" t="n"/>
      <c r="B551" s="9" t="n"/>
      <c r="C551" s="9" t="n"/>
      <c r="D551" s="17" t="n"/>
      <c r="E551" s="17" t="n"/>
      <c r="F551" s="10">
        <f>IF(OR($D551="",$E551=""),"",ROUND(MOD($E551-$D551,1)*24,2))</f>
        <v/>
      </c>
      <c r="G551" s="9" t="n"/>
      <c r="H551" s="10" t="n"/>
      <c r="I551" s="10">
        <f>IF($G551="Approved",IF($H551="",IF($F551="",0,$F551),$H551),0)</f>
        <v/>
      </c>
      <c r="J551" s="9" t="n"/>
      <c r="K551" s="9" t="n"/>
      <c r="L551" s="9" t="n"/>
    </row>
    <row r="552">
      <c r="A552" s="15" t="n"/>
      <c r="B552" s="9" t="n"/>
      <c r="C552" s="9" t="n"/>
      <c r="D552" s="17" t="n"/>
      <c r="E552" s="17" t="n"/>
      <c r="F552" s="10">
        <f>IF(OR($D552="",$E552=""),"",ROUND(MOD($E552-$D552,1)*24,2))</f>
        <v/>
      </c>
      <c r="G552" s="9" t="n"/>
      <c r="H552" s="10" t="n"/>
      <c r="I552" s="10">
        <f>IF($G552="Approved",IF($H552="",IF($F552="",0,$F552),$H552),0)</f>
        <v/>
      </c>
      <c r="J552" s="9" t="n"/>
      <c r="K552" s="9" t="n"/>
      <c r="L552" s="9" t="n"/>
    </row>
    <row r="553">
      <c r="A553" s="15" t="n"/>
      <c r="B553" s="9" t="n"/>
      <c r="C553" s="9" t="n"/>
      <c r="D553" s="17" t="n"/>
      <c r="E553" s="17" t="n"/>
      <c r="F553" s="10">
        <f>IF(OR($D553="",$E553=""),"",ROUND(MOD($E553-$D553,1)*24,2))</f>
        <v/>
      </c>
      <c r="G553" s="9" t="n"/>
      <c r="H553" s="10" t="n"/>
      <c r="I553" s="10">
        <f>IF($G553="Approved",IF($H553="",IF($F553="",0,$F553),$H553),0)</f>
        <v/>
      </c>
      <c r="J553" s="9" t="n"/>
      <c r="K553" s="9" t="n"/>
      <c r="L553" s="9" t="n"/>
    </row>
    <row r="554">
      <c r="A554" s="15" t="n"/>
      <c r="B554" s="9" t="n"/>
      <c r="C554" s="9" t="n"/>
      <c r="D554" s="17" t="n"/>
      <c r="E554" s="17" t="n"/>
      <c r="F554" s="10">
        <f>IF(OR($D554="",$E554=""),"",ROUND(MOD($E554-$D554,1)*24,2))</f>
        <v/>
      </c>
      <c r="G554" s="9" t="n"/>
      <c r="H554" s="10" t="n"/>
      <c r="I554" s="10">
        <f>IF($G554="Approved",IF($H554="",IF($F554="",0,$F554),$H554),0)</f>
        <v/>
      </c>
      <c r="J554" s="9" t="n"/>
      <c r="K554" s="9" t="n"/>
      <c r="L554" s="9" t="n"/>
    </row>
    <row r="555">
      <c r="A555" s="15" t="n"/>
      <c r="B555" s="9" t="n"/>
      <c r="C555" s="9" t="n"/>
      <c r="D555" s="17" t="n"/>
      <c r="E555" s="17" t="n"/>
      <c r="F555" s="10">
        <f>IF(OR($D555="",$E555=""),"",ROUND(MOD($E555-$D555,1)*24,2))</f>
        <v/>
      </c>
      <c r="G555" s="9" t="n"/>
      <c r="H555" s="10" t="n"/>
      <c r="I555" s="10">
        <f>IF($G555="Approved",IF($H555="",IF($F555="",0,$F555),$H555),0)</f>
        <v/>
      </c>
      <c r="J555" s="9" t="n"/>
      <c r="K555" s="9" t="n"/>
      <c r="L555" s="9" t="n"/>
    </row>
    <row r="556">
      <c r="A556" s="15" t="n"/>
      <c r="B556" s="9" t="n"/>
      <c r="C556" s="9" t="n"/>
      <c r="D556" s="17" t="n"/>
      <c r="E556" s="17" t="n"/>
      <c r="F556" s="10">
        <f>IF(OR($D556="",$E556=""),"",ROUND(MOD($E556-$D556,1)*24,2))</f>
        <v/>
      </c>
      <c r="G556" s="9" t="n"/>
      <c r="H556" s="10" t="n"/>
      <c r="I556" s="10">
        <f>IF($G556="Approved",IF($H556="",IF($F556="",0,$F556),$H556),0)</f>
        <v/>
      </c>
      <c r="J556" s="9" t="n"/>
      <c r="K556" s="9" t="n"/>
      <c r="L556" s="9" t="n"/>
    </row>
    <row r="557">
      <c r="A557" s="15" t="n"/>
      <c r="B557" s="9" t="n"/>
      <c r="C557" s="9" t="n"/>
      <c r="D557" s="17" t="n"/>
      <c r="E557" s="17" t="n"/>
      <c r="F557" s="10">
        <f>IF(OR($D557="",$E557=""),"",ROUND(MOD($E557-$D557,1)*24,2))</f>
        <v/>
      </c>
      <c r="G557" s="9" t="n"/>
      <c r="H557" s="10" t="n"/>
      <c r="I557" s="10">
        <f>IF($G557="Approved",IF($H557="",IF($F557="",0,$F557),$H557),0)</f>
        <v/>
      </c>
      <c r="J557" s="9" t="n"/>
      <c r="K557" s="9" t="n"/>
      <c r="L557" s="9" t="n"/>
    </row>
    <row r="558">
      <c r="A558" s="15" t="n"/>
      <c r="B558" s="9" t="n"/>
      <c r="C558" s="9" t="n"/>
      <c r="D558" s="17" t="n"/>
      <c r="E558" s="17" t="n"/>
      <c r="F558" s="10">
        <f>IF(OR($D558="",$E558=""),"",ROUND(MOD($E558-$D558,1)*24,2))</f>
        <v/>
      </c>
      <c r="G558" s="9" t="n"/>
      <c r="H558" s="10" t="n"/>
      <c r="I558" s="10">
        <f>IF($G558="Approved",IF($H558="",IF($F558="",0,$F558),$H558),0)</f>
        <v/>
      </c>
      <c r="J558" s="9" t="n"/>
      <c r="K558" s="9" t="n"/>
      <c r="L558" s="9" t="n"/>
    </row>
    <row r="559">
      <c r="A559" s="15" t="n"/>
      <c r="B559" s="9" t="n"/>
      <c r="C559" s="9" t="n"/>
      <c r="D559" s="17" t="n"/>
      <c r="E559" s="17" t="n"/>
      <c r="F559" s="10">
        <f>IF(OR($D559="",$E559=""),"",ROUND(MOD($E559-$D559,1)*24,2))</f>
        <v/>
      </c>
      <c r="G559" s="9" t="n"/>
      <c r="H559" s="10" t="n"/>
      <c r="I559" s="10">
        <f>IF($G559="Approved",IF($H559="",IF($F559="",0,$F559),$H559),0)</f>
        <v/>
      </c>
      <c r="J559" s="9" t="n"/>
      <c r="K559" s="9" t="n"/>
      <c r="L559" s="9" t="n"/>
    </row>
    <row r="560">
      <c r="A560" s="15" t="n"/>
      <c r="B560" s="9" t="n"/>
      <c r="C560" s="9" t="n"/>
      <c r="D560" s="17" t="n"/>
      <c r="E560" s="17" t="n"/>
      <c r="F560" s="10">
        <f>IF(OR($D560="",$E560=""),"",ROUND(MOD($E560-$D560,1)*24,2))</f>
        <v/>
      </c>
      <c r="G560" s="9" t="n"/>
      <c r="H560" s="10" t="n"/>
      <c r="I560" s="10">
        <f>IF($G560="Approved",IF($H560="",IF($F560="",0,$F560),$H560),0)</f>
        <v/>
      </c>
      <c r="J560" s="9" t="n"/>
      <c r="K560" s="9" t="n"/>
      <c r="L560" s="9" t="n"/>
    </row>
    <row r="561">
      <c r="A561" s="15" t="n"/>
      <c r="B561" s="9" t="n"/>
      <c r="C561" s="9" t="n"/>
      <c r="D561" s="17" t="n"/>
      <c r="E561" s="17" t="n"/>
      <c r="F561" s="10">
        <f>IF(OR($D561="",$E561=""),"",ROUND(MOD($E561-$D561,1)*24,2))</f>
        <v/>
      </c>
      <c r="G561" s="9" t="n"/>
      <c r="H561" s="10" t="n"/>
      <c r="I561" s="10">
        <f>IF($G561="Approved",IF($H561="",IF($F561="",0,$F561),$H561),0)</f>
        <v/>
      </c>
      <c r="J561" s="9" t="n"/>
      <c r="K561" s="9" t="n"/>
      <c r="L561" s="9" t="n"/>
    </row>
    <row r="562">
      <c r="A562" s="15" t="n"/>
      <c r="B562" s="9" t="n"/>
      <c r="C562" s="9" t="n"/>
      <c r="D562" s="17" t="n"/>
      <c r="E562" s="17" t="n"/>
      <c r="F562" s="10">
        <f>IF(OR($D562="",$E562=""),"",ROUND(MOD($E562-$D562,1)*24,2))</f>
        <v/>
      </c>
      <c r="G562" s="9" t="n"/>
      <c r="H562" s="10" t="n"/>
      <c r="I562" s="10">
        <f>IF($G562="Approved",IF($H562="",IF($F562="",0,$F562),$H562),0)</f>
        <v/>
      </c>
      <c r="J562" s="9" t="n"/>
      <c r="K562" s="9" t="n"/>
      <c r="L562" s="9" t="n"/>
    </row>
    <row r="563">
      <c r="A563" s="15" t="n"/>
      <c r="B563" s="9" t="n"/>
      <c r="C563" s="9" t="n"/>
      <c r="D563" s="17" t="n"/>
      <c r="E563" s="17" t="n"/>
      <c r="F563" s="10">
        <f>IF(OR($D563="",$E563=""),"",ROUND(MOD($E563-$D563,1)*24,2))</f>
        <v/>
      </c>
      <c r="G563" s="9" t="n"/>
      <c r="H563" s="10" t="n"/>
      <c r="I563" s="10">
        <f>IF($G563="Approved",IF($H563="",IF($F563="",0,$F563),$H563),0)</f>
        <v/>
      </c>
      <c r="J563" s="9" t="n"/>
      <c r="K563" s="9" t="n"/>
      <c r="L563" s="9" t="n"/>
    </row>
    <row r="564">
      <c r="A564" s="15" t="n"/>
      <c r="B564" s="9" t="n"/>
      <c r="C564" s="9" t="n"/>
      <c r="D564" s="17" t="n"/>
      <c r="E564" s="17" t="n"/>
      <c r="F564" s="10">
        <f>IF(OR($D564="",$E564=""),"",ROUND(MOD($E564-$D564,1)*24,2))</f>
        <v/>
      </c>
      <c r="G564" s="9" t="n"/>
      <c r="H564" s="10" t="n"/>
      <c r="I564" s="10">
        <f>IF($G564="Approved",IF($H564="",IF($F564="",0,$F564),$H564),0)</f>
        <v/>
      </c>
      <c r="J564" s="9" t="n"/>
      <c r="K564" s="9" t="n"/>
      <c r="L564" s="9" t="n"/>
    </row>
    <row r="565">
      <c r="A565" s="15" t="n"/>
      <c r="B565" s="9" t="n"/>
      <c r="C565" s="9" t="n"/>
      <c r="D565" s="17" t="n"/>
      <c r="E565" s="17" t="n"/>
      <c r="F565" s="10">
        <f>IF(OR($D565="",$E565=""),"",ROUND(MOD($E565-$D565,1)*24,2))</f>
        <v/>
      </c>
      <c r="G565" s="9" t="n"/>
      <c r="H565" s="10" t="n"/>
      <c r="I565" s="10">
        <f>IF($G565="Approved",IF($H565="",IF($F565="",0,$F565),$H565),0)</f>
        <v/>
      </c>
      <c r="J565" s="9" t="n"/>
      <c r="K565" s="9" t="n"/>
      <c r="L565" s="9" t="n"/>
    </row>
    <row r="566">
      <c r="A566" s="15" t="n"/>
      <c r="B566" s="9" t="n"/>
      <c r="C566" s="9" t="n"/>
      <c r="D566" s="17" t="n"/>
      <c r="E566" s="17" t="n"/>
      <c r="F566" s="10">
        <f>IF(OR($D566="",$E566=""),"",ROUND(MOD($E566-$D566,1)*24,2))</f>
        <v/>
      </c>
      <c r="G566" s="9" t="n"/>
      <c r="H566" s="10" t="n"/>
      <c r="I566" s="10">
        <f>IF($G566="Approved",IF($H566="",IF($F566="",0,$F566),$H566),0)</f>
        <v/>
      </c>
      <c r="J566" s="9" t="n"/>
      <c r="K566" s="9" t="n"/>
      <c r="L566" s="9" t="n"/>
    </row>
    <row r="567">
      <c r="A567" s="15" t="n"/>
      <c r="B567" s="9" t="n"/>
      <c r="C567" s="9" t="n"/>
      <c r="D567" s="17" t="n"/>
      <c r="E567" s="17" t="n"/>
      <c r="F567" s="10">
        <f>IF(OR($D567="",$E567=""),"",ROUND(MOD($E567-$D567,1)*24,2))</f>
        <v/>
      </c>
      <c r="G567" s="9" t="n"/>
      <c r="H567" s="10" t="n"/>
      <c r="I567" s="10">
        <f>IF($G567="Approved",IF($H567="",IF($F567="",0,$F567),$H567),0)</f>
        <v/>
      </c>
      <c r="J567" s="9" t="n"/>
      <c r="K567" s="9" t="n"/>
      <c r="L567" s="9" t="n"/>
    </row>
    <row r="568">
      <c r="A568" s="15" t="n"/>
      <c r="B568" s="9" t="n"/>
      <c r="C568" s="9" t="n"/>
      <c r="D568" s="17" t="n"/>
      <c r="E568" s="17" t="n"/>
      <c r="F568" s="10">
        <f>IF(OR($D568="",$E568=""),"",ROUND(MOD($E568-$D568,1)*24,2))</f>
        <v/>
      </c>
      <c r="G568" s="9" t="n"/>
      <c r="H568" s="10" t="n"/>
      <c r="I568" s="10">
        <f>IF($G568="Approved",IF($H568="",IF($F568="",0,$F568),$H568),0)</f>
        <v/>
      </c>
      <c r="J568" s="9" t="n"/>
      <c r="K568" s="9" t="n"/>
      <c r="L568" s="9" t="n"/>
    </row>
    <row r="569">
      <c r="A569" s="15" t="n"/>
      <c r="B569" s="9" t="n"/>
      <c r="C569" s="9" t="n"/>
      <c r="D569" s="17" t="n"/>
      <c r="E569" s="17" t="n"/>
      <c r="F569" s="10">
        <f>IF(OR($D569="",$E569=""),"",ROUND(MOD($E569-$D569,1)*24,2))</f>
        <v/>
      </c>
      <c r="G569" s="9" t="n"/>
      <c r="H569" s="10" t="n"/>
      <c r="I569" s="10">
        <f>IF($G569="Approved",IF($H569="",IF($F569="",0,$F569),$H569),0)</f>
        <v/>
      </c>
      <c r="J569" s="9" t="n"/>
      <c r="K569" s="9" t="n"/>
      <c r="L569" s="9" t="n"/>
    </row>
    <row r="570">
      <c r="A570" s="15" t="n"/>
      <c r="B570" s="9" t="n"/>
      <c r="C570" s="9" t="n"/>
      <c r="D570" s="17" t="n"/>
      <c r="E570" s="17" t="n"/>
      <c r="F570" s="10">
        <f>IF(OR($D570="",$E570=""),"",ROUND(MOD($E570-$D570,1)*24,2))</f>
        <v/>
      </c>
      <c r="G570" s="9" t="n"/>
      <c r="H570" s="10" t="n"/>
      <c r="I570" s="10">
        <f>IF($G570="Approved",IF($H570="",IF($F570="",0,$F570),$H570),0)</f>
        <v/>
      </c>
      <c r="J570" s="9" t="n"/>
      <c r="K570" s="9" t="n"/>
      <c r="L570" s="9" t="n"/>
    </row>
    <row r="571">
      <c r="A571" s="15" t="n"/>
      <c r="B571" s="9" t="n"/>
      <c r="C571" s="9" t="n"/>
      <c r="D571" s="17" t="n"/>
      <c r="E571" s="17" t="n"/>
      <c r="F571" s="10">
        <f>IF(OR($D571="",$E571=""),"",ROUND(MOD($E571-$D571,1)*24,2))</f>
        <v/>
      </c>
      <c r="G571" s="9" t="n"/>
      <c r="H571" s="10" t="n"/>
      <c r="I571" s="10">
        <f>IF($G571="Approved",IF($H571="",IF($F571="",0,$F571),$H571),0)</f>
        <v/>
      </c>
      <c r="J571" s="9" t="n"/>
      <c r="K571" s="9" t="n"/>
      <c r="L571" s="9" t="n"/>
    </row>
    <row r="572">
      <c r="A572" s="15" t="n"/>
      <c r="B572" s="9" t="n"/>
      <c r="C572" s="9" t="n"/>
      <c r="D572" s="17" t="n"/>
      <c r="E572" s="17" t="n"/>
      <c r="F572" s="10">
        <f>IF(OR($D572="",$E572=""),"",ROUND(MOD($E572-$D572,1)*24,2))</f>
        <v/>
      </c>
      <c r="G572" s="9" t="n"/>
      <c r="H572" s="10" t="n"/>
      <c r="I572" s="10">
        <f>IF($G572="Approved",IF($H572="",IF($F572="",0,$F572),$H572),0)</f>
        <v/>
      </c>
      <c r="J572" s="9" t="n"/>
      <c r="K572" s="9" t="n"/>
      <c r="L572" s="9" t="n"/>
    </row>
    <row r="573">
      <c r="A573" s="15" t="n"/>
      <c r="B573" s="9" t="n"/>
      <c r="C573" s="9" t="n"/>
      <c r="D573" s="17" t="n"/>
      <c r="E573" s="17" t="n"/>
      <c r="F573" s="10">
        <f>IF(OR($D573="",$E573=""),"",ROUND(MOD($E573-$D573,1)*24,2))</f>
        <v/>
      </c>
      <c r="G573" s="9" t="n"/>
      <c r="H573" s="10" t="n"/>
      <c r="I573" s="10">
        <f>IF($G573="Approved",IF($H573="",IF($F573="",0,$F573),$H573),0)</f>
        <v/>
      </c>
      <c r="J573" s="9" t="n"/>
      <c r="K573" s="9" t="n"/>
      <c r="L573" s="9" t="n"/>
    </row>
    <row r="574">
      <c r="A574" s="15" t="n"/>
      <c r="B574" s="9" t="n"/>
      <c r="C574" s="9" t="n"/>
      <c r="D574" s="17" t="n"/>
      <c r="E574" s="17" t="n"/>
      <c r="F574" s="10">
        <f>IF(OR($D574="",$E574=""),"",ROUND(MOD($E574-$D574,1)*24,2))</f>
        <v/>
      </c>
      <c r="G574" s="9" t="n"/>
      <c r="H574" s="10" t="n"/>
      <c r="I574" s="10">
        <f>IF($G574="Approved",IF($H574="",IF($F574="",0,$F574),$H574),0)</f>
        <v/>
      </c>
      <c r="J574" s="9" t="n"/>
      <c r="K574" s="9" t="n"/>
      <c r="L574" s="9" t="n"/>
    </row>
    <row r="575">
      <c r="A575" s="15" t="n"/>
      <c r="B575" s="9" t="n"/>
      <c r="C575" s="9" t="n"/>
      <c r="D575" s="17" t="n"/>
      <c r="E575" s="17" t="n"/>
      <c r="F575" s="10">
        <f>IF(OR($D575="",$E575=""),"",ROUND(MOD($E575-$D575,1)*24,2))</f>
        <v/>
      </c>
      <c r="G575" s="9" t="n"/>
      <c r="H575" s="10" t="n"/>
      <c r="I575" s="10">
        <f>IF($G575="Approved",IF($H575="",IF($F575="",0,$F575),$H575),0)</f>
        <v/>
      </c>
      <c r="J575" s="9" t="n"/>
      <c r="K575" s="9" t="n"/>
      <c r="L575" s="9" t="n"/>
    </row>
    <row r="576">
      <c r="A576" s="15" t="n"/>
      <c r="B576" s="9" t="n"/>
      <c r="C576" s="9" t="n"/>
      <c r="D576" s="17" t="n"/>
      <c r="E576" s="17" t="n"/>
      <c r="F576" s="10">
        <f>IF(OR($D576="",$E576=""),"",ROUND(MOD($E576-$D576,1)*24,2))</f>
        <v/>
      </c>
      <c r="G576" s="9" t="n"/>
      <c r="H576" s="10" t="n"/>
      <c r="I576" s="10">
        <f>IF($G576="Approved",IF($H576="",IF($F576="",0,$F576),$H576),0)</f>
        <v/>
      </c>
      <c r="J576" s="9" t="n"/>
      <c r="K576" s="9" t="n"/>
      <c r="L576" s="9" t="n"/>
    </row>
    <row r="577">
      <c r="A577" s="15" t="n"/>
      <c r="B577" s="9" t="n"/>
      <c r="C577" s="9" t="n"/>
      <c r="D577" s="17" t="n"/>
      <c r="E577" s="17" t="n"/>
      <c r="F577" s="10">
        <f>IF(OR($D577="",$E577=""),"",ROUND(MOD($E577-$D577,1)*24,2))</f>
        <v/>
      </c>
      <c r="G577" s="9" t="n"/>
      <c r="H577" s="10" t="n"/>
      <c r="I577" s="10">
        <f>IF($G577="Approved",IF($H577="",IF($F577="",0,$F577),$H577),0)</f>
        <v/>
      </c>
      <c r="J577" s="9" t="n"/>
      <c r="K577" s="9" t="n"/>
      <c r="L577" s="9" t="n"/>
    </row>
    <row r="578">
      <c r="A578" s="15" t="n"/>
      <c r="B578" s="9" t="n"/>
      <c r="C578" s="9" t="n"/>
      <c r="D578" s="17" t="n"/>
      <c r="E578" s="17" t="n"/>
      <c r="F578" s="10">
        <f>IF(OR($D578="",$E578=""),"",ROUND(MOD($E578-$D578,1)*24,2))</f>
        <v/>
      </c>
      <c r="G578" s="9" t="n"/>
      <c r="H578" s="10" t="n"/>
      <c r="I578" s="10">
        <f>IF($G578="Approved",IF($H578="",IF($F578="",0,$F578),$H578),0)</f>
        <v/>
      </c>
      <c r="J578" s="9" t="n"/>
      <c r="K578" s="9" t="n"/>
      <c r="L578" s="9" t="n"/>
    </row>
    <row r="579">
      <c r="A579" s="15" t="n"/>
      <c r="B579" s="9" t="n"/>
      <c r="C579" s="9" t="n"/>
      <c r="D579" s="17" t="n"/>
      <c r="E579" s="17" t="n"/>
      <c r="F579" s="10">
        <f>IF(OR($D579="",$E579=""),"",ROUND(MOD($E579-$D579,1)*24,2))</f>
        <v/>
      </c>
      <c r="G579" s="9" t="n"/>
      <c r="H579" s="10" t="n"/>
      <c r="I579" s="10">
        <f>IF($G579="Approved",IF($H579="",IF($F579="",0,$F579),$H579),0)</f>
        <v/>
      </c>
      <c r="J579" s="9" t="n"/>
      <c r="K579" s="9" t="n"/>
      <c r="L579" s="9" t="n"/>
    </row>
    <row r="580">
      <c r="A580" s="15" t="n"/>
      <c r="B580" s="9" t="n"/>
      <c r="C580" s="9" t="n"/>
      <c r="D580" s="17" t="n"/>
      <c r="E580" s="17" t="n"/>
      <c r="F580" s="10">
        <f>IF(OR($D580="",$E580=""),"",ROUND(MOD($E580-$D580,1)*24,2))</f>
        <v/>
      </c>
      <c r="G580" s="9" t="n"/>
      <c r="H580" s="10" t="n"/>
      <c r="I580" s="10">
        <f>IF($G580="Approved",IF($H580="",IF($F580="",0,$F580),$H580),0)</f>
        <v/>
      </c>
      <c r="J580" s="9" t="n"/>
      <c r="K580" s="9" t="n"/>
      <c r="L580" s="9" t="n"/>
    </row>
    <row r="581">
      <c r="A581" s="15" t="n"/>
      <c r="B581" s="9" t="n"/>
      <c r="C581" s="9" t="n"/>
      <c r="D581" s="17" t="n"/>
      <c r="E581" s="17" t="n"/>
      <c r="F581" s="10">
        <f>IF(OR($D581="",$E581=""),"",ROUND(MOD($E581-$D581,1)*24,2))</f>
        <v/>
      </c>
      <c r="G581" s="9" t="n"/>
      <c r="H581" s="10" t="n"/>
      <c r="I581" s="10">
        <f>IF($G581="Approved",IF($H581="",IF($F581="",0,$F581),$H581),0)</f>
        <v/>
      </c>
      <c r="J581" s="9" t="n"/>
      <c r="K581" s="9" t="n"/>
      <c r="L581" s="9" t="n"/>
    </row>
    <row r="582">
      <c r="A582" s="15" t="n"/>
      <c r="B582" s="9" t="n"/>
      <c r="C582" s="9" t="n"/>
      <c r="D582" s="17" t="n"/>
      <c r="E582" s="17" t="n"/>
      <c r="F582" s="10">
        <f>IF(OR($D582="",$E582=""),"",ROUND(MOD($E582-$D582,1)*24,2))</f>
        <v/>
      </c>
      <c r="G582" s="9" t="n"/>
      <c r="H582" s="10" t="n"/>
      <c r="I582" s="10">
        <f>IF($G582="Approved",IF($H582="",IF($F582="",0,$F582),$H582),0)</f>
        <v/>
      </c>
      <c r="J582" s="9" t="n"/>
      <c r="K582" s="9" t="n"/>
      <c r="L582" s="9" t="n"/>
    </row>
    <row r="583">
      <c r="A583" s="15" t="n"/>
      <c r="B583" s="9" t="n"/>
      <c r="C583" s="9" t="n"/>
      <c r="D583" s="17" t="n"/>
      <c r="E583" s="17" t="n"/>
      <c r="F583" s="10">
        <f>IF(OR($D583="",$E583=""),"",ROUND(MOD($E583-$D583,1)*24,2))</f>
        <v/>
      </c>
      <c r="G583" s="9" t="n"/>
      <c r="H583" s="10" t="n"/>
      <c r="I583" s="10">
        <f>IF($G583="Approved",IF($H583="",IF($F583="",0,$F583),$H583),0)</f>
        <v/>
      </c>
      <c r="J583" s="9" t="n"/>
      <c r="K583" s="9" t="n"/>
      <c r="L583" s="9" t="n"/>
    </row>
    <row r="584">
      <c r="A584" s="15" t="n"/>
      <c r="B584" s="9" t="n"/>
      <c r="C584" s="9" t="n"/>
      <c r="D584" s="17" t="n"/>
      <c r="E584" s="17" t="n"/>
      <c r="F584" s="10">
        <f>IF(OR($D584="",$E584=""),"",ROUND(MOD($E584-$D584,1)*24,2))</f>
        <v/>
      </c>
      <c r="G584" s="9" t="n"/>
      <c r="H584" s="10" t="n"/>
      <c r="I584" s="10">
        <f>IF($G584="Approved",IF($H584="",IF($F584="",0,$F584),$H584),0)</f>
        <v/>
      </c>
      <c r="J584" s="9" t="n"/>
      <c r="K584" s="9" t="n"/>
      <c r="L584" s="9" t="n"/>
    </row>
    <row r="585">
      <c r="A585" s="15" t="n"/>
      <c r="B585" s="9" t="n"/>
      <c r="C585" s="9" t="n"/>
      <c r="D585" s="17" t="n"/>
      <c r="E585" s="17" t="n"/>
      <c r="F585" s="10">
        <f>IF(OR($D585="",$E585=""),"",ROUND(MOD($E585-$D585,1)*24,2))</f>
        <v/>
      </c>
      <c r="G585" s="9" t="n"/>
      <c r="H585" s="10" t="n"/>
      <c r="I585" s="10">
        <f>IF($G585="Approved",IF($H585="",IF($F585="",0,$F585),$H585),0)</f>
        <v/>
      </c>
      <c r="J585" s="9" t="n"/>
      <c r="K585" s="9" t="n"/>
      <c r="L585" s="9" t="n"/>
    </row>
    <row r="586">
      <c r="A586" s="15" t="n"/>
      <c r="B586" s="9" t="n"/>
      <c r="C586" s="9" t="n"/>
      <c r="D586" s="17" t="n"/>
      <c r="E586" s="17" t="n"/>
      <c r="F586" s="10">
        <f>IF(OR($D586="",$E586=""),"",ROUND(MOD($E586-$D586,1)*24,2))</f>
        <v/>
      </c>
      <c r="G586" s="9" t="n"/>
      <c r="H586" s="10" t="n"/>
      <c r="I586" s="10">
        <f>IF($G586="Approved",IF($H586="",IF($F586="",0,$F586),$H586),0)</f>
        <v/>
      </c>
      <c r="J586" s="9" t="n"/>
      <c r="K586" s="9" t="n"/>
      <c r="L586" s="9" t="n"/>
    </row>
    <row r="587">
      <c r="A587" s="15" t="n"/>
      <c r="B587" s="9" t="n"/>
      <c r="C587" s="9" t="n"/>
      <c r="D587" s="17" t="n"/>
      <c r="E587" s="17" t="n"/>
      <c r="F587" s="10">
        <f>IF(OR($D587="",$E587=""),"",ROUND(MOD($E587-$D587,1)*24,2))</f>
        <v/>
      </c>
      <c r="G587" s="9" t="n"/>
      <c r="H587" s="10" t="n"/>
      <c r="I587" s="10">
        <f>IF($G587="Approved",IF($H587="",IF($F587="",0,$F587),$H587),0)</f>
        <v/>
      </c>
      <c r="J587" s="9" t="n"/>
      <c r="K587" s="9" t="n"/>
      <c r="L587" s="9" t="n"/>
    </row>
    <row r="588">
      <c r="A588" s="15" t="n"/>
      <c r="B588" s="9" t="n"/>
      <c r="C588" s="9" t="n"/>
      <c r="D588" s="17" t="n"/>
      <c r="E588" s="17" t="n"/>
      <c r="F588" s="10">
        <f>IF(OR($D588="",$E588=""),"",ROUND(MOD($E588-$D588,1)*24,2))</f>
        <v/>
      </c>
      <c r="G588" s="9" t="n"/>
      <c r="H588" s="10" t="n"/>
      <c r="I588" s="10">
        <f>IF($G588="Approved",IF($H588="",IF($F588="",0,$F588),$H588),0)</f>
        <v/>
      </c>
      <c r="J588" s="9" t="n"/>
      <c r="K588" s="9" t="n"/>
      <c r="L588" s="9" t="n"/>
    </row>
    <row r="589">
      <c r="A589" s="15" t="n"/>
      <c r="B589" s="9" t="n"/>
      <c r="C589" s="9" t="n"/>
      <c r="D589" s="17" t="n"/>
      <c r="E589" s="17" t="n"/>
      <c r="F589" s="10">
        <f>IF(OR($D589="",$E589=""),"",ROUND(MOD($E589-$D589,1)*24,2))</f>
        <v/>
      </c>
      <c r="G589" s="9" t="n"/>
      <c r="H589" s="10" t="n"/>
      <c r="I589" s="10">
        <f>IF($G589="Approved",IF($H589="",IF($F589="",0,$F589),$H589),0)</f>
        <v/>
      </c>
      <c r="J589" s="9" t="n"/>
      <c r="K589" s="9" t="n"/>
      <c r="L589" s="9" t="n"/>
    </row>
    <row r="590">
      <c r="A590" s="15" t="n"/>
      <c r="B590" s="9" t="n"/>
      <c r="C590" s="9" t="n"/>
      <c r="D590" s="17" t="n"/>
      <c r="E590" s="17" t="n"/>
      <c r="F590" s="10">
        <f>IF(OR($D590="",$E590=""),"",ROUND(MOD($E590-$D590,1)*24,2))</f>
        <v/>
      </c>
      <c r="G590" s="9" t="n"/>
      <c r="H590" s="10" t="n"/>
      <c r="I590" s="10">
        <f>IF($G590="Approved",IF($H590="",IF($F590="",0,$F590),$H590),0)</f>
        <v/>
      </c>
      <c r="J590" s="9" t="n"/>
      <c r="K590" s="9" t="n"/>
      <c r="L590" s="9" t="n"/>
    </row>
    <row r="591">
      <c r="A591" s="15" t="n"/>
      <c r="B591" s="9" t="n"/>
      <c r="C591" s="9" t="n"/>
      <c r="D591" s="17" t="n"/>
      <c r="E591" s="17" t="n"/>
      <c r="F591" s="10">
        <f>IF(OR($D591="",$E591=""),"",ROUND(MOD($E591-$D591,1)*24,2))</f>
        <v/>
      </c>
      <c r="G591" s="9" t="n"/>
      <c r="H591" s="10" t="n"/>
      <c r="I591" s="10">
        <f>IF($G591="Approved",IF($H591="",IF($F591="",0,$F591),$H591),0)</f>
        <v/>
      </c>
      <c r="J591" s="9" t="n"/>
      <c r="K591" s="9" t="n"/>
      <c r="L591" s="9" t="n"/>
    </row>
    <row r="592">
      <c r="A592" s="15" t="n"/>
      <c r="B592" s="9" t="n"/>
      <c r="C592" s="9" t="n"/>
      <c r="D592" s="17" t="n"/>
      <c r="E592" s="17" t="n"/>
      <c r="F592" s="10">
        <f>IF(OR($D592="",$E592=""),"",ROUND(MOD($E592-$D592,1)*24,2))</f>
        <v/>
      </c>
      <c r="G592" s="9" t="n"/>
      <c r="H592" s="10" t="n"/>
      <c r="I592" s="10">
        <f>IF($G592="Approved",IF($H592="",IF($F592="",0,$F592),$H592),0)</f>
        <v/>
      </c>
      <c r="J592" s="9" t="n"/>
      <c r="K592" s="9" t="n"/>
      <c r="L592" s="9" t="n"/>
    </row>
    <row r="593">
      <c r="A593" s="15" t="n"/>
      <c r="B593" s="9" t="n"/>
      <c r="C593" s="9" t="n"/>
      <c r="D593" s="17" t="n"/>
      <c r="E593" s="17" t="n"/>
      <c r="F593" s="10">
        <f>IF(OR($D593="",$E593=""),"",ROUND(MOD($E593-$D593,1)*24,2))</f>
        <v/>
      </c>
      <c r="G593" s="9" t="n"/>
      <c r="H593" s="10" t="n"/>
      <c r="I593" s="10">
        <f>IF($G593="Approved",IF($H593="",IF($F593="",0,$F593),$H593),0)</f>
        <v/>
      </c>
      <c r="J593" s="9" t="n"/>
      <c r="K593" s="9" t="n"/>
      <c r="L593" s="9" t="n"/>
    </row>
    <row r="594">
      <c r="A594" s="15" t="n"/>
      <c r="B594" s="9" t="n"/>
      <c r="C594" s="9" t="n"/>
      <c r="D594" s="17" t="n"/>
      <c r="E594" s="17" t="n"/>
      <c r="F594" s="10">
        <f>IF(OR($D594="",$E594=""),"",ROUND(MOD($E594-$D594,1)*24,2))</f>
        <v/>
      </c>
      <c r="G594" s="9" t="n"/>
      <c r="H594" s="10" t="n"/>
      <c r="I594" s="10">
        <f>IF($G594="Approved",IF($H594="",IF($F594="",0,$F594),$H594),0)</f>
        <v/>
      </c>
      <c r="J594" s="9" t="n"/>
      <c r="K594" s="9" t="n"/>
      <c r="L594" s="9" t="n"/>
    </row>
    <row r="595">
      <c r="A595" s="15" t="n"/>
      <c r="B595" s="9" t="n"/>
      <c r="C595" s="9" t="n"/>
      <c r="D595" s="17" t="n"/>
      <c r="E595" s="17" t="n"/>
      <c r="F595" s="10">
        <f>IF(OR($D595="",$E595=""),"",ROUND(MOD($E595-$D595,1)*24,2))</f>
        <v/>
      </c>
      <c r="G595" s="9" t="n"/>
      <c r="H595" s="10" t="n"/>
      <c r="I595" s="10">
        <f>IF($G595="Approved",IF($H595="",IF($F595="",0,$F595),$H595),0)</f>
        <v/>
      </c>
      <c r="J595" s="9" t="n"/>
      <c r="K595" s="9" t="n"/>
      <c r="L595" s="9" t="n"/>
    </row>
    <row r="596">
      <c r="A596" s="15" t="n"/>
      <c r="B596" s="9" t="n"/>
      <c r="C596" s="9" t="n"/>
      <c r="D596" s="17" t="n"/>
      <c r="E596" s="17" t="n"/>
      <c r="F596" s="10">
        <f>IF(OR($D596="",$E596=""),"",ROUND(MOD($E596-$D596,1)*24,2))</f>
        <v/>
      </c>
      <c r="G596" s="9" t="n"/>
      <c r="H596" s="10" t="n"/>
      <c r="I596" s="10">
        <f>IF($G596="Approved",IF($H596="",IF($F596="",0,$F596),$H596),0)</f>
        <v/>
      </c>
      <c r="J596" s="9" t="n"/>
      <c r="K596" s="9" t="n"/>
      <c r="L596" s="9" t="n"/>
    </row>
    <row r="597">
      <c r="A597" s="15" t="n"/>
      <c r="B597" s="9" t="n"/>
      <c r="C597" s="9" t="n"/>
      <c r="D597" s="17" t="n"/>
      <c r="E597" s="17" t="n"/>
      <c r="F597" s="10">
        <f>IF(OR($D597="",$E597=""),"",ROUND(MOD($E597-$D597,1)*24,2))</f>
        <v/>
      </c>
      <c r="G597" s="9" t="n"/>
      <c r="H597" s="10" t="n"/>
      <c r="I597" s="10">
        <f>IF($G597="Approved",IF($H597="",IF($F597="",0,$F597),$H597),0)</f>
        <v/>
      </c>
      <c r="J597" s="9" t="n"/>
      <c r="K597" s="9" t="n"/>
      <c r="L597" s="9" t="n"/>
    </row>
    <row r="598">
      <c r="A598" s="15" t="n"/>
      <c r="B598" s="9" t="n"/>
      <c r="C598" s="9" t="n"/>
      <c r="D598" s="17" t="n"/>
      <c r="E598" s="17" t="n"/>
      <c r="F598" s="10">
        <f>IF(OR($D598="",$E598=""),"",ROUND(MOD($E598-$D598,1)*24,2))</f>
        <v/>
      </c>
      <c r="G598" s="9" t="n"/>
      <c r="H598" s="10" t="n"/>
      <c r="I598" s="10">
        <f>IF($G598="Approved",IF($H598="",IF($F598="",0,$F598),$H598),0)</f>
        <v/>
      </c>
      <c r="J598" s="9" t="n"/>
      <c r="K598" s="9" t="n"/>
      <c r="L598" s="9" t="n"/>
    </row>
    <row r="599">
      <c r="A599" s="15" t="n"/>
      <c r="B599" s="9" t="n"/>
      <c r="C599" s="9" t="n"/>
      <c r="D599" s="17" t="n"/>
      <c r="E599" s="17" t="n"/>
      <c r="F599" s="10">
        <f>IF(OR($D599="",$E599=""),"",ROUND(MOD($E599-$D599,1)*24,2))</f>
        <v/>
      </c>
      <c r="G599" s="9" t="n"/>
      <c r="H599" s="10" t="n"/>
      <c r="I599" s="10">
        <f>IF($G599="Approved",IF($H599="",IF($F599="",0,$F599),$H599),0)</f>
        <v/>
      </c>
      <c r="J599" s="9" t="n"/>
      <c r="K599" s="9" t="n"/>
      <c r="L599" s="9" t="n"/>
    </row>
    <row r="600">
      <c r="A600" s="15" t="n"/>
      <c r="B600" s="9" t="n"/>
      <c r="C600" s="9" t="n"/>
      <c r="D600" s="17" t="n"/>
      <c r="E600" s="17" t="n"/>
      <c r="F600" s="10">
        <f>IF(OR($D600="",$E600=""),"",ROUND(MOD($E600-$D600,1)*24,2))</f>
        <v/>
      </c>
      <c r="G600" s="9" t="n"/>
      <c r="H600" s="10" t="n"/>
      <c r="I600" s="10">
        <f>IF($G600="Approved",IF($H600="",IF($F600="",0,$F600),$H600),0)</f>
        <v/>
      </c>
      <c r="J600" s="9" t="n"/>
      <c r="K600" s="9" t="n"/>
      <c r="L600" s="9" t="n"/>
    </row>
    <row r="601">
      <c r="A601" s="15" t="n"/>
      <c r="B601" s="9" t="n"/>
      <c r="C601" s="9" t="n"/>
      <c r="D601" s="17" t="n"/>
      <c r="E601" s="17" t="n"/>
      <c r="F601" s="10">
        <f>IF(OR($D601="",$E601=""),"",ROUND(MOD($E601-$D601,1)*24,2))</f>
        <v/>
      </c>
      <c r="G601" s="9" t="n"/>
      <c r="H601" s="10" t="n"/>
      <c r="I601" s="10">
        <f>IF($G601="Approved",IF($H601="",IF($F601="",0,$F601),$H601),0)</f>
        <v/>
      </c>
      <c r="J601" s="9" t="n"/>
      <c r="K601" s="9" t="n"/>
      <c r="L601" s="9" t="n"/>
    </row>
    <row r="602">
      <c r="A602" s="15" t="n"/>
      <c r="B602" s="9" t="n"/>
      <c r="C602" s="9" t="n"/>
      <c r="D602" s="17" t="n"/>
      <c r="E602" s="17" t="n"/>
      <c r="F602" s="10">
        <f>IF(OR($D602="",$E602=""),"",ROUND(MOD($E602-$D602,1)*24,2))</f>
        <v/>
      </c>
      <c r="G602" s="9" t="n"/>
      <c r="H602" s="10" t="n"/>
      <c r="I602" s="10">
        <f>IF($G602="Approved",IF($H602="",IF($F602="",0,$F602),$H602),0)</f>
        <v/>
      </c>
      <c r="J602" s="9" t="n"/>
      <c r="K602" s="9" t="n"/>
      <c r="L602" s="9" t="n"/>
    </row>
    <row r="603">
      <c r="A603" s="15" t="n"/>
      <c r="B603" s="9" t="n"/>
      <c r="C603" s="9" t="n"/>
      <c r="D603" s="17" t="n"/>
      <c r="E603" s="17" t="n"/>
      <c r="F603" s="10">
        <f>IF(OR($D603="",$E603=""),"",ROUND(MOD($E603-$D603,1)*24,2))</f>
        <v/>
      </c>
      <c r="G603" s="9" t="n"/>
      <c r="H603" s="10" t="n"/>
      <c r="I603" s="10">
        <f>IF($G603="Approved",IF($H603="",IF($F603="",0,$F603),$H603),0)</f>
        <v/>
      </c>
      <c r="J603" s="9" t="n"/>
      <c r="K603" s="9" t="n"/>
      <c r="L603" s="9" t="n"/>
    </row>
    <row r="604">
      <c r="A604" s="15" t="n"/>
      <c r="B604" s="9" t="n"/>
      <c r="C604" s="9" t="n"/>
      <c r="D604" s="17" t="n"/>
      <c r="E604" s="17" t="n"/>
      <c r="F604" s="10">
        <f>IF(OR($D604="",$E604=""),"",ROUND(MOD($E604-$D604,1)*24,2))</f>
        <v/>
      </c>
      <c r="G604" s="9" t="n"/>
      <c r="H604" s="10" t="n"/>
      <c r="I604" s="10">
        <f>IF($G604="Approved",IF($H604="",IF($F604="",0,$F604),$H604),0)</f>
        <v/>
      </c>
      <c r="J604" s="9" t="n"/>
      <c r="K604" s="9" t="n"/>
      <c r="L604" s="9" t="n"/>
    </row>
    <row r="605">
      <c r="A605" s="15" t="n"/>
      <c r="B605" s="9" t="n"/>
      <c r="C605" s="9" t="n"/>
      <c r="D605" s="17" t="n"/>
      <c r="E605" s="17" t="n"/>
      <c r="F605" s="10">
        <f>IF(OR($D605="",$E605=""),"",ROUND(MOD($E605-$D605,1)*24,2))</f>
        <v/>
      </c>
      <c r="G605" s="9" t="n"/>
      <c r="H605" s="10" t="n"/>
      <c r="I605" s="10">
        <f>IF($G605="Approved",IF($H605="",IF($F605="",0,$F605),$H605),0)</f>
        <v/>
      </c>
      <c r="J605" s="9" t="n"/>
      <c r="K605" s="9" t="n"/>
      <c r="L605" s="9" t="n"/>
    </row>
    <row r="606">
      <c r="A606" s="15" t="n"/>
      <c r="B606" s="9" t="n"/>
      <c r="C606" s="9" t="n"/>
      <c r="D606" s="17" t="n"/>
      <c r="E606" s="17" t="n"/>
      <c r="F606" s="10">
        <f>IF(OR($D606="",$E606=""),"",ROUND(MOD($E606-$D606,1)*24,2))</f>
        <v/>
      </c>
      <c r="G606" s="9" t="n"/>
      <c r="H606" s="10" t="n"/>
      <c r="I606" s="10">
        <f>IF($G606="Approved",IF($H606="",IF($F606="",0,$F606),$H606),0)</f>
        <v/>
      </c>
      <c r="J606" s="9" t="n"/>
      <c r="K606" s="9" t="n"/>
      <c r="L606" s="9" t="n"/>
    </row>
    <row r="607">
      <c r="A607" s="15" t="n"/>
      <c r="B607" s="9" t="n"/>
      <c r="C607" s="9" t="n"/>
      <c r="D607" s="17" t="n"/>
      <c r="E607" s="17" t="n"/>
      <c r="F607" s="10">
        <f>IF(OR($D607="",$E607=""),"",ROUND(MOD($E607-$D607,1)*24,2))</f>
        <v/>
      </c>
      <c r="G607" s="9" t="n"/>
      <c r="H607" s="10" t="n"/>
      <c r="I607" s="10">
        <f>IF($G607="Approved",IF($H607="",IF($F607="",0,$F607),$H607),0)</f>
        <v/>
      </c>
      <c r="J607" s="9" t="n"/>
      <c r="K607" s="9" t="n"/>
      <c r="L607" s="9" t="n"/>
    </row>
    <row r="608">
      <c r="A608" s="15" t="n"/>
      <c r="B608" s="9" t="n"/>
      <c r="C608" s="9" t="n"/>
      <c r="D608" s="17" t="n"/>
      <c r="E608" s="17" t="n"/>
      <c r="F608" s="10">
        <f>IF(OR($D608="",$E608=""),"",ROUND(MOD($E608-$D608,1)*24,2))</f>
        <v/>
      </c>
      <c r="G608" s="9" t="n"/>
      <c r="H608" s="10" t="n"/>
      <c r="I608" s="10">
        <f>IF($G608="Approved",IF($H608="",IF($F608="",0,$F608),$H608),0)</f>
        <v/>
      </c>
      <c r="J608" s="9" t="n"/>
      <c r="K608" s="9" t="n"/>
      <c r="L608" s="9" t="n"/>
    </row>
    <row r="609">
      <c r="A609" s="15" t="n"/>
      <c r="B609" s="9" t="n"/>
      <c r="C609" s="9" t="n"/>
      <c r="D609" s="17" t="n"/>
      <c r="E609" s="17" t="n"/>
      <c r="F609" s="10">
        <f>IF(OR($D609="",$E609=""),"",ROUND(MOD($E609-$D609,1)*24,2))</f>
        <v/>
      </c>
      <c r="G609" s="9" t="n"/>
      <c r="H609" s="10" t="n"/>
      <c r="I609" s="10">
        <f>IF($G609="Approved",IF($H609="",IF($F609="",0,$F609),$H609),0)</f>
        <v/>
      </c>
      <c r="J609" s="9" t="n"/>
      <c r="K609" s="9" t="n"/>
      <c r="L609" s="9" t="n"/>
    </row>
    <row r="610">
      <c r="A610" s="15" t="n"/>
      <c r="B610" s="9" t="n"/>
      <c r="C610" s="9" t="n"/>
      <c r="D610" s="17" t="n"/>
      <c r="E610" s="17" t="n"/>
      <c r="F610" s="10">
        <f>IF(OR($D610="",$E610=""),"",ROUND(MOD($E610-$D610,1)*24,2))</f>
        <v/>
      </c>
      <c r="G610" s="9" t="n"/>
      <c r="H610" s="10" t="n"/>
      <c r="I610" s="10">
        <f>IF($G610="Approved",IF($H610="",IF($F610="",0,$F610),$H610),0)</f>
        <v/>
      </c>
      <c r="J610" s="9" t="n"/>
      <c r="K610" s="9" t="n"/>
      <c r="L610" s="9" t="n"/>
    </row>
    <row r="611">
      <c r="A611" s="15" t="n"/>
      <c r="B611" s="9" t="n"/>
      <c r="C611" s="9" t="n"/>
      <c r="D611" s="17" t="n"/>
      <c r="E611" s="17" t="n"/>
      <c r="F611" s="10">
        <f>IF(OR($D611="",$E611=""),"",ROUND(MOD($E611-$D611,1)*24,2))</f>
        <v/>
      </c>
      <c r="G611" s="9" t="n"/>
      <c r="H611" s="10" t="n"/>
      <c r="I611" s="10">
        <f>IF($G611="Approved",IF($H611="",IF($F611="",0,$F611),$H611),0)</f>
        <v/>
      </c>
      <c r="J611" s="9" t="n"/>
      <c r="K611" s="9" t="n"/>
      <c r="L611" s="9" t="n"/>
    </row>
    <row r="612">
      <c r="A612" s="15" t="n"/>
      <c r="B612" s="9" t="n"/>
      <c r="C612" s="9" t="n"/>
      <c r="D612" s="17" t="n"/>
      <c r="E612" s="17" t="n"/>
      <c r="F612" s="10">
        <f>IF(OR($D612="",$E612=""),"",ROUND(MOD($E612-$D612,1)*24,2))</f>
        <v/>
      </c>
      <c r="G612" s="9" t="n"/>
      <c r="H612" s="10" t="n"/>
      <c r="I612" s="10">
        <f>IF($G612="Approved",IF($H612="",IF($F612="",0,$F612),$H612),0)</f>
        <v/>
      </c>
      <c r="J612" s="9" t="n"/>
      <c r="K612" s="9" t="n"/>
      <c r="L612" s="9" t="n"/>
    </row>
    <row r="613">
      <c r="A613" s="15" t="n"/>
      <c r="B613" s="9" t="n"/>
      <c r="C613" s="9" t="n"/>
      <c r="D613" s="17" t="n"/>
      <c r="E613" s="17" t="n"/>
      <c r="F613" s="10">
        <f>IF(OR($D613="",$E613=""),"",ROUND(MOD($E613-$D613,1)*24,2))</f>
        <v/>
      </c>
      <c r="G613" s="9" t="n"/>
      <c r="H613" s="10" t="n"/>
      <c r="I613" s="10">
        <f>IF($G613="Approved",IF($H613="",IF($F613="",0,$F613),$H613),0)</f>
        <v/>
      </c>
      <c r="J613" s="9" t="n"/>
      <c r="K613" s="9" t="n"/>
      <c r="L613" s="9" t="n"/>
    </row>
    <row r="614">
      <c r="A614" s="15" t="n"/>
      <c r="B614" s="9" t="n"/>
      <c r="C614" s="9" t="n"/>
      <c r="D614" s="17" t="n"/>
      <c r="E614" s="17" t="n"/>
      <c r="F614" s="10">
        <f>IF(OR($D614="",$E614=""),"",ROUND(MOD($E614-$D614,1)*24,2))</f>
        <v/>
      </c>
      <c r="G614" s="9" t="n"/>
      <c r="H614" s="10" t="n"/>
      <c r="I614" s="10">
        <f>IF($G614="Approved",IF($H614="",IF($F614="",0,$F614),$H614),0)</f>
        <v/>
      </c>
      <c r="J614" s="9" t="n"/>
      <c r="K614" s="9" t="n"/>
      <c r="L614" s="9" t="n"/>
    </row>
    <row r="615">
      <c r="A615" s="15" t="n"/>
      <c r="B615" s="9" t="n"/>
      <c r="C615" s="9" t="n"/>
      <c r="D615" s="17" t="n"/>
      <c r="E615" s="17" t="n"/>
      <c r="F615" s="10">
        <f>IF(OR($D615="",$E615=""),"",ROUND(MOD($E615-$D615,1)*24,2))</f>
        <v/>
      </c>
      <c r="G615" s="9" t="n"/>
      <c r="H615" s="10" t="n"/>
      <c r="I615" s="10">
        <f>IF($G615="Approved",IF($H615="",IF($F615="",0,$F615),$H615),0)</f>
        <v/>
      </c>
      <c r="J615" s="9" t="n"/>
      <c r="K615" s="9" t="n"/>
      <c r="L615" s="9" t="n"/>
    </row>
    <row r="616">
      <c r="A616" s="15" t="n"/>
      <c r="B616" s="9" t="n"/>
      <c r="C616" s="9" t="n"/>
      <c r="D616" s="17" t="n"/>
      <c r="E616" s="17" t="n"/>
      <c r="F616" s="10">
        <f>IF(OR($D616="",$E616=""),"",ROUND(MOD($E616-$D616,1)*24,2))</f>
        <v/>
      </c>
      <c r="G616" s="9" t="n"/>
      <c r="H616" s="10" t="n"/>
      <c r="I616" s="10">
        <f>IF($G616="Approved",IF($H616="",IF($F616="",0,$F616),$H616),0)</f>
        <v/>
      </c>
      <c r="J616" s="9" t="n"/>
      <c r="K616" s="9" t="n"/>
      <c r="L616" s="9" t="n"/>
    </row>
    <row r="617">
      <c r="A617" s="15" t="n"/>
      <c r="B617" s="9" t="n"/>
      <c r="C617" s="9" t="n"/>
      <c r="D617" s="17" t="n"/>
      <c r="E617" s="17" t="n"/>
      <c r="F617" s="10">
        <f>IF(OR($D617="",$E617=""),"",ROUND(MOD($E617-$D617,1)*24,2))</f>
        <v/>
      </c>
      <c r="G617" s="9" t="n"/>
      <c r="H617" s="10" t="n"/>
      <c r="I617" s="10">
        <f>IF($G617="Approved",IF($H617="",IF($F617="",0,$F617),$H617),0)</f>
        <v/>
      </c>
      <c r="J617" s="9" t="n"/>
      <c r="K617" s="9" t="n"/>
      <c r="L617" s="9" t="n"/>
    </row>
    <row r="618">
      <c r="A618" s="15" t="n"/>
      <c r="B618" s="9" t="n"/>
      <c r="C618" s="9" t="n"/>
      <c r="D618" s="17" t="n"/>
      <c r="E618" s="17" t="n"/>
      <c r="F618" s="10">
        <f>IF(OR($D618="",$E618=""),"",ROUND(MOD($E618-$D618,1)*24,2))</f>
        <v/>
      </c>
      <c r="G618" s="9" t="n"/>
      <c r="H618" s="10" t="n"/>
      <c r="I618" s="10">
        <f>IF($G618="Approved",IF($H618="",IF($F618="",0,$F618),$H618),0)</f>
        <v/>
      </c>
      <c r="J618" s="9" t="n"/>
      <c r="K618" s="9" t="n"/>
      <c r="L618" s="9" t="n"/>
    </row>
    <row r="619">
      <c r="A619" s="15" t="n"/>
      <c r="B619" s="9" t="n"/>
      <c r="C619" s="9" t="n"/>
      <c r="D619" s="17" t="n"/>
      <c r="E619" s="17" t="n"/>
      <c r="F619" s="10">
        <f>IF(OR($D619="",$E619=""),"",ROUND(MOD($E619-$D619,1)*24,2))</f>
        <v/>
      </c>
      <c r="G619" s="9" t="n"/>
      <c r="H619" s="10" t="n"/>
      <c r="I619" s="10">
        <f>IF($G619="Approved",IF($H619="",IF($F619="",0,$F619),$H619),0)</f>
        <v/>
      </c>
      <c r="J619" s="9" t="n"/>
      <c r="K619" s="9" t="n"/>
      <c r="L619" s="9" t="n"/>
    </row>
    <row r="620">
      <c r="A620" s="15" t="n"/>
      <c r="B620" s="9" t="n"/>
      <c r="C620" s="9" t="n"/>
      <c r="D620" s="17" t="n"/>
      <c r="E620" s="17" t="n"/>
      <c r="F620" s="10">
        <f>IF(OR($D620="",$E620=""),"",ROUND(MOD($E620-$D620,1)*24,2))</f>
        <v/>
      </c>
      <c r="G620" s="9" t="n"/>
      <c r="H620" s="10" t="n"/>
      <c r="I620" s="10">
        <f>IF($G620="Approved",IF($H620="",IF($F620="",0,$F620),$H620),0)</f>
        <v/>
      </c>
      <c r="J620" s="9" t="n"/>
      <c r="K620" s="9" t="n"/>
      <c r="L620" s="9" t="n"/>
    </row>
    <row r="621">
      <c r="A621" s="15" t="n"/>
      <c r="B621" s="9" t="n"/>
      <c r="C621" s="9" t="n"/>
      <c r="D621" s="17" t="n"/>
      <c r="E621" s="17" t="n"/>
      <c r="F621" s="10">
        <f>IF(OR($D621="",$E621=""),"",ROUND(MOD($E621-$D621,1)*24,2))</f>
        <v/>
      </c>
      <c r="G621" s="9" t="n"/>
      <c r="H621" s="10" t="n"/>
      <c r="I621" s="10">
        <f>IF($G621="Approved",IF($H621="",IF($F621="",0,$F621),$H621),0)</f>
        <v/>
      </c>
      <c r="J621" s="9" t="n"/>
      <c r="K621" s="9" t="n"/>
      <c r="L621" s="9" t="n"/>
    </row>
    <row r="622">
      <c r="A622" s="15" t="n"/>
      <c r="B622" s="9" t="n"/>
      <c r="C622" s="9" t="n"/>
      <c r="D622" s="17" t="n"/>
      <c r="E622" s="17" t="n"/>
      <c r="F622" s="10">
        <f>IF(OR($D622="",$E622=""),"",ROUND(MOD($E622-$D622,1)*24,2))</f>
        <v/>
      </c>
      <c r="G622" s="9" t="n"/>
      <c r="H622" s="10" t="n"/>
      <c r="I622" s="10">
        <f>IF($G622="Approved",IF($H622="",IF($F622="",0,$F622),$H622),0)</f>
        <v/>
      </c>
      <c r="J622" s="9" t="n"/>
      <c r="K622" s="9" t="n"/>
      <c r="L622" s="9" t="n"/>
    </row>
    <row r="623">
      <c r="A623" s="15" t="n"/>
      <c r="B623" s="9" t="n"/>
      <c r="C623" s="9" t="n"/>
      <c r="D623" s="17" t="n"/>
      <c r="E623" s="17" t="n"/>
      <c r="F623" s="10">
        <f>IF(OR($D623="",$E623=""),"",ROUND(MOD($E623-$D623,1)*24,2))</f>
        <v/>
      </c>
      <c r="G623" s="9" t="n"/>
      <c r="H623" s="10" t="n"/>
      <c r="I623" s="10">
        <f>IF($G623="Approved",IF($H623="",IF($F623="",0,$F623),$H623),0)</f>
        <v/>
      </c>
      <c r="J623" s="9" t="n"/>
      <c r="K623" s="9" t="n"/>
      <c r="L623" s="9" t="n"/>
    </row>
    <row r="624">
      <c r="A624" s="15" t="n"/>
      <c r="B624" s="9" t="n"/>
      <c r="C624" s="9" t="n"/>
      <c r="D624" s="17" t="n"/>
      <c r="E624" s="17" t="n"/>
      <c r="F624" s="10">
        <f>IF(OR($D624="",$E624=""),"",ROUND(MOD($E624-$D624,1)*24,2))</f>
        <v/>
      </c>
      <c r="G624" s="9" t="n"/>
      <c r="H624" s="10" t="n"/>
      <c r="I624" s="10">
        <f>IF($G624="Approved",IF($H624="",IF($F624="",0,$F624),$H624),0)</f>
        <v/>
      </c>
      <c r="J624" s="9" t="n"/>
      <c r="K624" s="9" t="n"/>
      <c r="L624" s="9" t="n"/>
    </row>
    <row r="625">
      <c r="A625" s="15" t="n"/>
      <c r="B625" s="9" t="n"/>
      <c r="C625" s="9" t="n"/>
      <c r="D625" s="17" t="n"/>
      <c r="E625" s="17" t="n"/>
      <c r="F625" s="10">
        <f>IF(OR($D625="",$E625=""),"",ROUND(MOD($E625-$D625,1)*24,2))</f>
        <v/>
      </c>
      <c r="G625" s="9" t="n"/>
      <c r="H625" s="10" t="n"/>
      <c r="I625" s="10">
        <f>IF($G625="Approved",IF($H625="",IF($F625="",0,$F625),$H625),0)</f>
        <v/>
      </c>
      <c r="J625" s="9" t="n"/>
      <c r="K625" s="9" t="n"/>
      <c r="L625" s="9" t="n"/>
    </row>
    <row r="626">
      <c r="A626" s="15" t="n"/>
      <c r="B626" s="9" t="n"/>
      <c r="C626" s="9" t="n"/>
      <c r="D626" s="17" t="n"/>
      <c r="E626" s="17" t="n"/>
      <c r="F626" s="10">
        <f>IF(OR($D626="",$E626=""),"",ROUND(MOD($E626-$D626,1)*24,2))</f>
        <v/>
      </c>
      <c r="G626" s="9" t="n"/>
      <c r="H626" s="10" t="n"/>
      <c r="I626" s="10">
        <f>IF($G626="Approved",IF($H626="",IF($F626="",0,$F626),$H626),0)</f>
        <v/>
      </c>
      <c r="J626" s="9" t="n"/>
      <c r="K626" s="9" t="n"/>
      <c r="L626" s="9" t="n"/>
    </row>
    <row r="627">
      <c r="A627" s="15" t="n"/>
      <c r="B627" s="9" t="n"/>
      <c r="C627" s="9" t="n"/>
      <c r="D627" s="17" t="n"/>
      <c r="E627" s="17" t="n"/>
      <c r="F627" s="10">
        <f>IF(OR($D627="",$E627=""),"",ROUND(MOD($E627-$D627,1)*24,2))</f>
        <v/>
      </c>
      <c r="G627" s="9" t="n"/>
      <c r="H627" s="10" t="n"/>
      <c r="I627" s="10">
        <f>IF($G627="Approved",IF($H627="",IF($F627="",0,$F627),$H627),0)</f>
        <v/>
      </c>
      <c r="J627" s="9" t="n"/>
      <c r="K627" s="9" t="n"/>
      <c r="L627" s="9" t="n"/>
    </row>
    <row r="628">
      <c r="A628" s="15" t="n"/>
      <c r="B628" s="9" t="n"/>
      <c r="C628" s="9" t="n"/>
      <c r="D628" s="17" t="n"/>
      <c r="E628" s="17" t="n"/>
      <c r="F628" s="10">
        <f>IF(OR($D628="",$E628=""),"",ROUND(MOD($E628-$D628,1)*24,2))</f>
        <v/>
      </c>
      <c r="G628" s="9" t="n"/>
      <c r="H628" s="10" t="n"/>
      <c r="I628" s="10">
        <f>IF($G628="Approved",IF($H628="",IF($F628="",0,$F628),$H628),0)</f>
        <v/>
      </c>
      <c r="J628" s="9" t="n"/>
      <c r="K628" s="9" t="n"/>
      <c r="L628" s="9" t="n"/>
    </row>
    <row r="629">
      <c r="A629" s="15" t="n"/>
      <c r="B629" s="9" t="n"/>
      <c r="C629" s="9" t="n"/>
      <c r="D629" s="17" t="n"/>
      <c r="E629" s="17" t="n"/>
      <c r="F629" s="10">
        <f>IF(OR($D629="",$E629=""),"",ROUND(MOD($E629-$D629,1)*24,2))</f>
        <v/>
      </c>
      <c r="G629" s="9" t="n"/>
      <c r="H629" s="10" t="n"/>
      <c r="I629" s="10">
        <f>IF($G629="Approved",IF($H629="",IF($F629="",0,$F629),$H629),0)</f>
        <v/>
      </c>
      <c r="J629" s="9" t="n"/>
      <c r="K629" s="9" t="n"/>
      <c r="L629" s="9" t="n"/>
    </row>
    <row r="630">
      <c r="A630" s="15" t="n"/>
      <c r="B630" s="9" t="n"/>
      <c r="C630" s="9" t="n"/>
      <c r="D630" s="17" t="n"/>
      <c r="E630" s="17" t="n"/>
      <c r="F630" s="10">
        <f>IF(OR($D630="",$E630=""),"",ROUND(MOD($E630-$D630,1)*24,2))</f>
        <v/>
      </c>
      <c r="G630" s="9" t="n"/>
      <c r="H630" s="10" t="n"/>
      <c r="I630" s="10">
        <f>IF($G630="Approved",IF($H630="",IF($F630="",0,$F630),$H630),0)</f>
        <v/>
      </c>
      <c r="J630" s="9" t="n"/>
      <c r="K630" s="9" t="n"/>
      <c r="L630" s="9" t="n"/>
    </row>
    <row r="631">
      <c r="A631" s="15" t="n"/>
      <c r="B631" s="9" t="n"/>
      <c r="C631" s="9" t="n"/>
      <c r="D631" s="17" t="n"/>
      <c r="E631" s="17" t="n"/>
      <c r="F631" s="10">
        <f>IF(OR($D631="",$E631=""),"",ROUND(MOD($E631-$D631,1)*24,2))</f>
        <v/>
      </c>
      <c r="G631" s="9" t="n"/>
      <c r="H631" s="10" t="n"/>
      <c r="I631" s="10">
        <f>IF($G631="Approved",IF($H631="",IF($F631="",0,$F631),$H631),0)</f>
        <v/>
      </c>
      <c r="J631" s="9" t="n"/>
      <c r="K631" s="9" t="n"/>
      <c r="L631" s="9" t="n"/>
    </row>
    <row r="632">
      <c r="A632" s="15" t="n"/>
      <c r="B632" s="9" t="n"/>
      <c r="C632" s="9" t="n"/>
      <c r="D632" s="17" t="n"/>
      <c r="E632" s="17" t="n"/>
      <c r="F632" s="10">
        <f>IF(OR($D632="",$E632=""),"",ROUND(MOD($E632-$D632,1)*24,2))</f>
        <v/>
      </c>
      <c r="G632" s="9" t="n"/>
      <c r="H632" s="10" t="n"/>
      <c r="I632" s="10">
        <f>IF($G632="Approved",IF($H632="",IF($F632="",0,$F632),$H632),0)</f>
        <v/>
      </c>
      <c r="J632" s="9" t="n"/>
      <c r="K632" s="9" t="n"/>
      <c r="L632" s="9" t="n"/>
    </row>
    <row r="633">
      <c r="A633" s="15" t="n"/>
      <c r="B633" s="9" t="n"/>
      <c r="C633" s="9" t="n"/>
      <c r="D633" s="17" t="n"/>
      <c r="E633" s="17" t="n"/>
      <c r="F633" s="10">
        <f>IF(OR($D633="",$E633=""),"",ROUND(MOD($E633-$D633,1)*24,2))</f>
        <v/>
      </c>
      <c r="G633" s="9" t="n"/>
      <c r="H633" s="10" t="n"/>
      <c r="I633" s="10">
        <f>IF($G633="Approved",IF($H633="",IF($F633="",0,$F633),$H633),0)</f>
        <v/>
      </c>
      <c r="J633" s="9" t="n"/>
      <c r="K633" s="9" t="n"/>
      <c r="L633" s="9" t="n"/>
    </row>
    <row r="634">
      <c r="A634" s="15" t="n"/>
      <c r="B634" s="9" t="n"/>
      <c r="C634" s="9" t="n"/>
      <c r="D634" s="17" t="n"/>
      <c r="E634" s="17" t="n"/>
      <c r="F634" s="10">
        <f>IF(OR($D634="",$E634=""),"",ROUND(MOD($E634-$D634,1)*24,2))</f>
        <v/>
      </c>
      <c r="G634" s="9" t="n"/>
      <c r="H634" s="10" t="n"/>
      <c r="I634" s="10">
        <f>IF($G634="Approved",IF($H634="",IF($F634="",0,$F634),$H634),0)</f>
        <v/>
      </c>
      <c r="J634" s="9" t="n"/>
      <c r="K634" s="9" t="n"/>
      <c r="L634" s="9" t="n"/>
    </row>
    <row r="635">
      <c r="A635" s="15" t="n"/>
      <c r="B635" s="9" t="n"/>
      <c r="C635" s="9" t="n"/>
      <c r="D635" s="17" t="n"/>
      <c r="E635" s="17" t="n"/>
      <c r="F635" s="10">
        <f>IF(OR($D635="",$E635=""),"",ROUND(MOD($E635-$D635,1)*24,2))</f>
        <v/>
      </c>
      <c r="G635" s="9" t="n"/>
      <c r="H635" s="10" t="n"/>
      <c r="I635" s="10">
        <f>IF($G635="Approved",IF($H635="",IF($F635="",0,$F635),$H635),0)</f>
        <v/>
      </c>
      <c r="J635" s="9" t="n"/>
      <c r="K635" s="9" t="n"/>
      <c r="L635" s="9" t="n"/>
    </row>
    <row r="636">
      <c r="A636" s="15" t="n"/>
      <c r="B636" s="9" t="n"/>
      <c r="C636" s="9" t="n"/>
      <c r="D636" s="17" t="n"/>
      <c r="E636" s="17" t="n"/>
      <c r="F636" s="10">
        <f>IF(OR($D636="",$E636=""),"",ROUND(MOD($E636-$D636,1)*24,2))</f>
        <v/>
      </c>
      <c r="G636" s="9" t="n"/>
      <c r="H636" s="10" t="n"/>
      <c r="I636" s="10">
        <f>IF($G636="Approved",IF($H636="",IF($F636="",0,$F636),$H636),0)</f>
        <v/>
      </c>
      <c r="J636" s="9" t="n"/>
      <c r="K636" s="9" t="n"/>
      <c r="L636" s="9" t="n"/>
    </row>
    <row r="637">
      <c r="A637" s="15" t="n"/>
      <c r="B637" s="9" t="n"/>
      <c r="C637" s="9" t="n"/>
      <c r="D637" s="17" t="n"/>
      <c r="E637" s="17" t="n"/>
      <c r="F637" s="10">
        <f>IF(OR($D637="",$E637=""),"",ROUND(MOD($E637-$D637,1)*24,2))</f>
        <v/>
      </c>
      <c r="G637" s="9" t="n"/>
      <c r="H637" s="10" t="n"/>
      <c r="I637" s="10">
        <f>IF($G637="Approved",IF($H637="",IF($F637="",0,$F637),$H637),0)</f>
        <v/>
      </c>
      <c r="J637" s="9" t="n"/>
      <c r="K637" s="9" t="n"/>
      <c r="L637" s="9" t="n"/>
    </row>
    <row r="638">
      <c r="A638" s="15" t="n"/>
      <c r="B638" s="9" t="n"/>
      <c r="C638" s="9" t="n"/>
      <c r="D638" s="17" t="n"/>
      <c r="E638" s="17" t="n"/>
      <c r="F638" s="10">
        <f>IF(OR($D638="",$E638=""),"",ROUND(MOD($E638-$D638,1)*24,2))</f>
        <v/>
      </c>
      <c r="G638" s="9" t="n"/>
      <c r="H638" s="10" t="n"/>
      <c r="I638" s="10">
        <f>IF($G638="Approved",IF($H638="",IF($F638="",0,$F638),$H638),0)</f>
        <v/>
      </c>
      <c r="J638" s="9" t="n"/>
      <c r="K638" s="9" t="n"/>
      <c r="L638" s="9" t="n"/>
    </row>
    <row r="639">
      <c r="A639" s="15" t="n"/>
      <c r="B639" s="9" t="n"/>
      <c r="C639" s="9" t="n"/>
      <c r="D639" s="17" t="n"/>
      <c r="E639" s="17" t="n"/>
      <c r="F639" s="10">
        <f>IF(OR($D639="",$E639=""),"",ROUND(MOD($E639-$D639,1)*24,2))</f>
        <v/>
      </c>
      <c r="G639" s="9" t="n"/>
      <c r="H639" s="10" t="n"/>
      <c r="I639" s="10">
        <f>IF($G639="Approved",IF($H639="",IF($F639="",0,$F639),$H639),0)</f>
        <v/>
      </c>
      <c r="J639" s="9" t="n"/>
      <c r="K639" s="9" t="n"/>
      <c r="L639" s="9" t="n"/>
    </row>
    <row r="640">
      <c r="A640" s="15" t="n"/>
      <c r="B640" s="9" t="n"/>
      <c r="C640" s="9" t="n"/>
      <c r="D640" s="17" t="n"/>
      <c r="E640" s="17" t="n"/>
      <c r="F640" s="10">
        <f>IF(OR($D640="",$E640=""),"",ROUND(MOD($E640-$D640,1)*24,2))</f>
        <v/>
      </c>
      <c r="G640" s="9" t="n"/>
      <c r="H640" s="10" t="n"/>
      <c r="I640" s="10">
        <f>IF($G640="Approved",IF($H640="",IF($F640="",0,$F640),$H640),0)</f>
        <v/>
      </c>
      <c r="J640" s="9" t="n"/>
      <c r="K640" s="9" t="n"/>
      <c r="L640" s="9" t="n"/>
    </row>
    <row r="641">
      <c r="A641" s="15" t="n"/>
      <c r="B641" s="9" t="n"/>
      <c r="C641" s="9" t="n"/>
      <c r="D641" s="17" t="n"/>
      <c r="E641" s="17" t="n"/>
      <c r="F641" s="10">
        <f>IF(OR($D641="",$E641=""),"",ROUND(MOD($E641-$D641,1)*24,2))</f>
        <v/>
      </c>
      <c r="G641" s="9" t="n"/>
      <c r="H641" s="10" t="n"/>
      <c r="I641" s="10">
        <f>IF($G641="Approved",IF($H641="",IF($F641="",0,$F641),$H641),0)</f>
        <v/>
      </c>
      <c r="J641" s="9" t="n"/>
      <c r="K641" s="9" t="n"/>
      <c r="L641" s="9" t="n"/>
    </row>
    <row r="642">
      <c r="A642" s="15" t="n"/>
      <c r="B642" s="9" t="n"/>
      <c r="C642" s="9" t="n"/>
      <c r="D642" s="17" t="n"/>
      <c r="E642" s="17" t="n"/>
      <c r="F642" s="10">
        <f>IF(OR($D642="",$E642=""),"",ROUND(MOD($E642-$D642,1)*24,2))</f>
        <v/>
      </c>
      <c r="G642" s="9" t="n"/>
      <c r="H642" s="10" t="n"/>
      <c r="I642" s="10">
        <f>IF($G642="Approved",IF($H642="",IF($F642="",0,$F642),$H642),0)</f>
        <v/>
      </c>
      <c r="J642" s="9" t="n"/>
      <c r="K642" s="9" t="n"/>
      <c r="L642" s="9" t="n"/>
    </row>
    <row r="643">
      <c r="A643" s="15" t="n"/>
      <c r="B643" s="9" t="n"/>
      <c r="C643" s="9" t="n"/>
      <c r="D643" s="17" t="n"/>
      <c r="E643" s="17" t="n"/>
      <c r="F643" s="10">
        <f>IF(OR($D643="",$E643=""),"",ROUND(MOD($E643-$D643,1)*24,2))</f>
        <v/>
      </c>
      <c r="G643" s="9" t="n"/>
      <c r="H643" s="10" t="n"/>
      <c r="I643" s="10">
        <f>IF($G643="Approved",IF($H643="",IF($F643="",0,$F643),$H643),0)</f>
        <v/>
      </c>
      <c r="J643" s="9" t="n"/>
      <c r="K643" s="9" t="n"/>
      <c r="L643" s="9" t="n"/>
    </row>
    <row r="644">
      <c r="A644" s="15" t="n"/>
      <c r="B644" s="9" t="n"/>
      <c r="C644" s="9" t="n"/>
      <c r="D644" s="17" t="n"/>
      <c r="E644" s="17" t="n"/>
      <c r="F644" s="10">
        <f>IF(OR($D644="",$E644=""),"",ROUND(MOD($E644-$D644,1)*24,2))</f>
        <v/>
      </c>
      <c r="G644" s="9" t="n"/>
      <c r="H644" s="10" t="n"/>
      <c r="I644" s="10">
        <f>IF($G644="Approved",IF($H644="",IF($F644="",0,$F644),$H644),0)</f>
        <v/>
      </c>
      <c r="J644" s="9" t="n"/>
      <c r="K644" s="9" t="n"/>
      <c r="L644" s="9" t="n"/>
    </row>
    <row r="645">
      <c r="A645" s="15" t="n"/>
      <c r="B645" s="9" t="n"/>
      <c r="C645" s="9" t="n"/>
      <c r="D645" s="17" t="n"/>
      <c r="E645" s="17" t="n"/>
      <c r="F645" s="10">
        <f>IF(OR($D645="",$E645=""),"",ROUND(MOD($E645-$D645,1)*24,2))</f>
        <v/>
      </c>
      <c r="G645" s="9" t="n"/>
      <c r="H645" s="10" t="n"/>
      <c r="I645" s="10">
        <f>IF($G645="Approved",IF($H645="",IF($F645="",0,$F645),$H645),0)</f>
        <v/>
      </c>
      <c r="J645" s="9" t="n"/>
      <c r="K645" s="9" t="n"/>
      <c r="L645" s="9" t="n"/>
    </row>
    <row r="646">
      <c r="A646" s="15" t="n"/>
      <c r="B646" s="9" t="n"/>
      <c r="C646" s="9" t="n"/>
      <c r="D646" s="17" t="n"/>
      <c r="E646" s="17" t="n"/>
      <c r="F646" s="10">
        <f>IF(OR($D646="",$E646=""),"",ROUND(MOD($E646-$D646,1)*24,2))</f>
        <v/>
      </c>
      <c r="G646" s="9" t="n"/>
      <c r="H646" s="10" t="n"/>
      <c r="I646" s="10">
        <f>IF($G646="Approved",IF($H646="",IF($F646="",0,$F646),$H646),0)</f>
        <v/>
      </c>
      <c r="J646" s="9" t="n"/>
      <c r="K646" s="9" t="n"/>
      <c r="L646" s="9" t="n"/>
    </row>
    <row r="647">
      <c r="A647" s="15" t="n"/>
      <c r="B647" s="9" t="n"/>
      <c r="C647" s="9" t="n"/>
      <c r="D647" s="17" t="n"/>
      <c r="E647" s="17" t="n"/>
      <c r="F647" s="10">
        <f>IF(OR($D647="",$E647=""),"",ROUND(MOD($E647-$D647,1)*24,2))</f>
        <v/>
      </c>
      <c r="G647" s="9" t="n"/>
      <c r="H647" s="10" t="n"/>
      <c r="I647" s="10">
        <f>IF($G647="Approved",IF($H647="",IF($F647="",0,$F647),$H647),0)</f>
        <v/>
      </c>
      <c r="J647" s="9" t="n"/>
      <c r="K647" s="9" t="n"/>
      <c r="L647" s="9" t="n"/>
    </row>
    <row r="648">
      <c r="A648" s="15" t="n"/>
      <c r="B648" s="9" t="n"/>
      <c r="C648" s="9" t="n"/>
      <c r="D648" s="17" t="n"/>
      <c r="E648" s="17" t="n"/>
      <c r="F648" s="10">
        <f>IF(OR($D648="",$E648=""),"",ROUND(MOD($E648-$D648,1)*24,2))</f>
        <v/>
      </c>
      <c r="G648" s="9" t="n"/>
      <c r="H648" s="10" t="n"/>
      <c r="I648" s="10">
        <f>IF($G648="Approved",IF($H648="",IF($F648="",0,$F648),$H648),0)</f>
        <v/>
      </c>
      <c r="J648" s="9" t="n"/>
      <c r="K648" s="9" t="n"/>
      <c r="L648" s="9" t="n"/>
    </row>
    <row r="649">
      <c r="A649" s="15" t="n"/>
      <c r="B649" s="9" t="n"/>
      <c r="C649" s="9" t="n"/>
      <c r="D649" s="17" t="n"/>
      <c r="E649" s="17" t="n"/>
      <c r="F649" s="10">
        <f>IF(OR($D649="",$E649=""),"",ROUND(MOD($E649-$D649,1)*24,2))</f>
        <v/>
      </c>
      <c r="G649" s="9" t="n"/>
      <c r="H649" s="10" t="n"/>
      <c r="I649" s="10">
        <f>IF($G649="Approved",IF($H649="",IF($F649="",0,$F649),$H649),0)</f>
        <v/>
      </c>
      <c r="J649" s="9" t="n"/>
      <c r="K649" s="9" t="n"/>
      <c r="L649" s="9" t="n"/>
    </row>
    <row r="650">
      <c r="A650" s="15" t="n"/>
      <c r="B650" s="9" t="n"/>
      <c r="C650" s="9" t="n"/>
      <c r="D650" s="17" t="n"/>
      <c r="E650" s="17" t="n"/>
      <c r="F650" s="10">
        <f>IF(OR($D650="",$E650=""),"",ROUND(MOD($E650-$D650,1)*24,2))</f>
        <v/>
      </c>
      <c r="G650" s="9" t="n"/>
      <c r="H650" s="10" t="n"/>
      <c r="I650" s="10">
        <f>IF($G650="Approved",IF($H650="",IF($F650="",0,$F650),$H650),0)</f>
        <v/>
      </c>
      <c r="J650" s="9" t="n"/>
      <c r="K650" s="9" t="n"/>
      <c r="L650" s="9" t="n"/>
    </row>
    <row r="651">
      <c r="A651" s="15" t="n"/>
      <c r="B651" s="9" t="n"/>
      <c r="C651" s="9" t="n"/>
      <c r="D651" s="17" t="n"/>
      <c r="E651" s="17" t="n"/>
      <c r="F651" s="10">
        <f>IF(OR($D651="",$E651=""),"",ROUND(MOD($E651-$D651,1)*24,2))</f>
        <v/>
      </c>
      <c r="G651" s="9" t="n"/>
      <c r="H651" s="10" t="n"/>
      <c r="I651" s="10">
        <f>IF($G651="Approved",IF($H651="",IF($F651="",0,$F651),$H651),0)</f>
        <v/>
      </c>
      <c r="J651" s="9" t="n"/>
      <c r="K651" s="9" t="n"/>
      <c r="L651" s="9" t="n"/>
    </row>
    <row r="652">
      <c r="A652" s="15" t="n"/>
      <c r="B652" s="9" t="n"/>
      <c r="C652" s="9" t="n"/>
      <c r="D652" s="17" t="n"/>
      <c r="E652" s="17" t="n"/>
      <c r="F652" s="10">
        <f>IF(OR($D652="",$E652=""),"",ROUND(MOD($E652-$D652,1)*24,2))</f>
        <v/>
      </c>
      <c r="G652" s="9" t="n"/>
      <c r="H652" s="10" t="n"/>
      <c r="I652" s="10">
        <f>IF($G652="Approved",IF($H652="",IF($F652="",0,$F652),$H652),0)</f>
        <v/>
      </c>
      <c r="J652" s="9" t="n"/>
      <c r="K652" s="9" t="n"/>
      <c r="L652" s="9" t="n"/>
    </row>
    <row r="653">
      <c r="A653" s="15" t="n"/>
      <c r="B653" s="9" t="n"/>
      <c r="C653" s="9" t="n"/>
      <c r="D653" s="17" t="n"/>
      <c r="E653" s="17" t="n"/>
      <c r="F653" s="10">
        <f>IF(OR($D653="",$E653=""),"",ROUND(MOD($E653-$D653,1)*24,2))</f>
        <v/>
      </c>
      <c r="G653" s="9" t="n"/>
      <c r="H653" s="10" t="n"/>
      <c r="I653" s="10">
        <f>IF($G653="Approved",IF($H653="",IF($F653="",0,$F653),$H653),0)</f>
        <v/>
      </c>
      <c r="J653" s="9" t="n"/>
      <c r="K653" s="9" t="n"/>
      <c r="L653" s="9" t="n"/>
    </row>
    <row r="654">
      <c r="A654" s="15" t="n"/>
      <c r="B654" s="9" t="n"/>
      <c r="C654" s="9" t="n"/>
      <c r="D654" s="17" t="n"/>
      <c r="E654" s="17" t="n"/>
      <c r="F654" s="10">
        <f>IF(OR($D654="",$E654=""),"",ROUND(MOD($E654-$D654,1)*24,2))</f>
        <v/>
      </c>
      <c r="G654" s="9" t="n"/>
      <c r="H654" s="10" t="n"/>
      <c r="I654" s="10">
        <f>IF($G654="Approved",IF($H654="",IF($F654="",0,$F654),$H654),0)</f>
        <v/>
      </c>
      <c r="J654" s="9" t="n"/>
      <c r="K654" s="9" t="n"/>
      <c r="L654" s="9" t="n"/>
    </row>
    <row r="655">
      <c r="A655" s="15" t="n"/>
      <c r="B655" s="9" t="n"/>
      <c r="C655" s="9" t="n"/>
      <c r="D655" s="17" t="n"/>
      <c r="E655" s="17" t="n"/>
      <c r="F655" s="10">
        <f>IF(OR($D655="",$E655=""),"",ROUND(MOD($E655-$D655,1)*24,2))</f>
        <v/>
      </c>
      <c r="G655" s="9" t="n"/>
      <c r="H655" s="10" t="n"/>
      <c r="I655" s="10">
        <f>IF($G655="Approved",IF($H655="",IF($F655="",0,$F655),$H655),0)</f>
        <v/>
      </c>
      <c r="J655" s="9" t="n"/>
      <c r="K655" s="9" t="n"/>
      <c r="L655" s="9" t="n"/>
    </row>
    <row r="656">
      <c r="A656" s="15" t="n"/>
      <c r="B656" s="9" t="n"/>
      <c r="C656" s="9" t="n"/>
      <c r="D656" s="17" t="n"/>
      <c r="E656" s="17" t="n"/>
      <c r="F656" s="10">
        <f>IF(OR($D656="",$E656=""),"",ROUND(MOD($E656-$D656,1)*24,2))</f>
        <v/>
      </c>
      <c r="G656" s="9" t="n"/>
      <c r="H656" s="10" t="n"/>
      <c r="I656" s="10">
        <f>IF($G656="Approved",IF($H656="",IF($F656="",0,$F656),$H656),0)</f>
        <v/>
      </c>
      <c r="J656" s="9" t="n"/>
      <c r="K656" s="9" t="n"/>
      <c r="L656" s="9" t="n"/>
    </row>
    <row r="657">
      <c r="A657" s="15" t="n"/>
      <c r="B657" s="9" t="n"/>
      <c r="C657" s="9" t="n"/>
      <c r="D657" s="17" t="n"/>
      <c r="E657" s="17" t="n"/>
      <c r="F657" s="10">
        <f>IF(OR($D657="",$E657=""),"",ROUND(MOD($E657-$D657,1)*24,2))</f>
        <v/>
      </c>
      <c r="G657" s="9" t="n"/>
      <c r="H657" s="10" t="n"/>
      <c r="I657" s="10">
        <f>IF($G657="Approved",IF($H657="",IF($F657="",0,$F657),$H657),0)</f>
        <v/>
      </c>
      <c r="J657" s="9" t="n"/>
      <c r="K657" s="9" t="n"/>
      <c r="L657" s="9" t="n"/>
    </row>
    <row r="658">
      <c r="A658" s="15" t="n"/>
      <c r="B658" s="9" t="n"/>
      <c r="C658" s="9" t="n"/>
      <c r="D658" s="17" t="n"/>
      <c r="E658" s="17" t="n"/>
      <c r="F658" s="10">
        <f>IF(OR($D658="",$E658=""),"",ROUND(MOD($E658-$D658,1)*24,2))</f>
        <v/>
      </c>
      <c r="G658" s="9" t="n"/>
      <c r="H658" s="10" t="n"/>
      <c r="I658" s="10">
        <f>IF($G658="Approved",IF($H658="",IF($F658="",0,$F658),$H658),0)</f>
        <v/>
      </c>
      <c r="J658" s="9" t="n"/>
      <c r="K658" s="9" t="n"/>
      <c r="L658" s="9" t="n"/>
    </row>
    <row r="659">
      <c r="A659" s="15" t="n"/>
      <c r="B659" s="9" t="n"/>
      <c r="C659" s="9" t="n"/>
      <c r="D659" s="17" t="n"/>
      <c r="E659" s="17" t="n"/>
      <c r="F659" s="10">
        <f>IF(OR($D659="",$E659=""),"",ROUND(MOD($E659-$D659,1)*24,2))</f>
        <v/>
      </c>
      <c r="G659" s="9" t="n"/>
      <c r="H659" s="10" t="n"/>
      <c r="I659" s="10">
        <f>IF($G659="Approved",IF($H659="",IF($F659="",0,$F659),$H659),0)</f>
        <v/>
      </c>
      <c r="J659" s="9" t="n"/>
      <c r="K659" s="9" t="n"/>
      <c r="L659" s="9" t="n"/>
    </row>
    <row r="660">
      <c r="A660" s="15" t="n"/>
      <c r="B660" s="9" t="n"/>
      <c r="C660" s="9" t="n"/>
      <c r="D660" s="17" t="n"/>
      <c r="E660" s="17" t="n"/>
      <c r="F660" s="10">
        <f>IF(OR($D660="",$E660=""),"",ROUND(MOD($E660-$D660,1)*24,2))</f>
        <v/>
      </c>
      <c r="G660" s="9" t="n"/>
      <c r="H660" s="10" t="n"/>
      <c r="I660" s="10">
        <f>IF($G660="Approved",IF($H660="",IF($F660="",0,$F660),$H660),0)</f>
        <v/>
      </c>
      <c r="J660" s="9" t="n"/>
      <c r="K660" s="9" t="n"/>
      <c r="L660" s="9" t="n"/>
    </row>
    <row r="661">
      <c r="A661" s="15" t="n"/>
      <c r="B661" s="9" t="n"/>
      <c r="C661" s="9" t="n"/>
      <c r="D661" s="17" t="n"/>
      <c r="E661" s="17" t="n"/>
      <c r="F661" s="10">
        <f>IF(OR($D661="",$E661=""),"",ROUND(MOD($E661-$D661,1)*24,2))</f>
        <v/>
      </c>
      <c r="G661" s="9" t="n"/>
      <c r="H661" s="10" t="n"/>
      <c r="I661" s="10">
        <f>IF($G661="Approved",IF($H661="",IF($F661="",0,$F661),$H661),0)</f>
        <v/>
      </c>
      <c r="J661" s="9" t="n"/>
      <c r="K661" s="9" t="n"/>
      <c r="L661" s="9" t="n"/>
    </row>
    <row r="662">
      <c r="A662" s="15" t="n"/>
      <c r="B662" s="9" t="n"/>
      <c r="C662" s="9" t="n"/>
      <c r="D662" s="17" t="n"/>
      <c r="E662" s="17" t="n"/>
      <c r="F662" s="10">
        <f>IF(OR($D662="",$E662=""),"",ROUND(MOD($E662-$D662,1)*24,2))</f>
        <v/>
      </c>
      <c r="G662" s="9" t="n"/>
      <c r="H662" s="10" t="n"/>
      <c r="I662" s="10">
        <f>IF($G662="Approved",IF($H662="",IF($F662="",0,$F662),$H662),0)</f>
        <v/>
      </c>
      <c r="J662" s="9" t="n"/>
      <c r="K662" s="9" t="n"/>
      <c r="L662" s="9" t="n"/>
    </row>
    <row r="663">
      <c r="A663" s="15" t="n"/>
      <c r="B663" s="9" t="n"/>
      <c r="C663" s="9" t="n"/>
      <c r="D663" s="17" t="n"/>
      <c r="E663" s="17" t="n"/>
      <c r="F663" s="10">
        <f>IF(OR($D663="",$E663=""),"",ROUND(MOD($E663-$D663,1)*24,2))</f>
        <v/>
      </c>
      <c r="G663" s="9" t="n"/>
      <c r="H663" s="10" t="n"/>
      <c r="I663" s="10">
        <f>IF($G663="Approved",IF($H663="",IF($F663="",0,$F663),$H663),0)</f>
        <v/>
      </c>
      <c r="J663" s="9" t="n"/>
      <c r="K663" s="9" t="n"/>
      <c r="L663" s="9" t="n"/>
    </row>
    <row r="664">
      <c r="A664" s="15" t="n"/>
      <c r="B664" s="9" t="n"/>
      <c r="C664" s="9" t="n"/>
      <c r="D664" s="17" t="n"/>
      <c r="E664" s="17" t="n"/>
      <c r="F664" s="10">
        <f>IF(OR($D664="",$E664=""),"",ROUND(MOD($E664-$D664,1)*24,2))</f>
        <v/>
      </c>
      <c r="G664" s="9" t="n"/>
      <c r="H664" s="10" t="n"/>
      <c r="I664" s="10">
        <f>IF($G664="Approved",IF($H664="",IF($F664="",0,$F664),$H664),0)</f>
        <v/>
      </c>
      <c r="J664" s="9" t="n"/>
      <c r="K664" s="9" t="n"/>
      <c r="L664" s="9" t="n"/>
    </row>
    <row r="665">
      <c r="A665" s="15" t="n"/>
      <c r="B665" s="9" t="n"/>
      <c r="C665" s="9" t="n"/>
      <c r="D665" s="17" t="n"/>
      <c r="E665" s="17" t="n"/>
      <c r="F665" s="10">
        <f>IF(OR($D665="",$E665=""),"",ROUND(MOD($E665-$D665,1)*24,2))</f>
        <v/>
      </c>
      <c r="G665" s="9" t="n"/>
      <c r="H665" s="10" t="n"/>
      <c r="I665" s="10">
        <f>IF($G665="Approved",IF($H665="",IF($F665="",0,$F665),$H665),0)</f>
        <v/>
      </c>
      <c r="J665" s="9" t="n"/>
      <c r="K665" s="9" t="n"/>
      <c r="L665" s="9" t="n"/>
    </row>
    <row r="666">
      <c r="A666" s="15" t="n"/>
      <c r="B666" s="9" t="n"/>
      <c r="C666" s="9" t="n"/>
      <c r="D666" s="17" t="n"/>
      <c r="E666" s="17" t="n"/>
      <c r="F666" s="10">
        <f>IF(OR($D666="",$E666=""),"",ROUND(MOD($E666-$D666,1)*24,2))</f>
        <v/>
      </c>
      <c r="G666" s="9" t="n"/>
      <c r="H666" s="10" t="n"/>
      <c r="I666" s="10">
        <f>IF($G666="Approved",IF($H666="",IF($F666="",0,$F666),$H666),0)</f>
        <v/>
      </c>
      <c r="J666" s="9" t="n"/>
      <c r="K666" s="9" t="n"/>
      <c r="L666" s="9" t="n"/>
    </row>
    <row r="667">
      <c r="A667" s="15" t="n"/>
      <c r="B667" s="9" t="n"/>
      <c r="C667" s="9" t="n"/>
      <c r="D667" s="17" t="n"/>
      <c r="E667" s="17" t="n"/>
      <c r="F667" s="10">
        <f>IF(OR($D667="",$E667=""),"",ROUND(MOD($E667-$D667,1)*24,2))</f>
        <v/>
      </c>
      <c r="G667" s="9" t="n"/>
      <c r="H667" s="10" t="n"/>
      <c r="I667" s="10">
        <f>IF($G667="Approved",IF($H667="",IF($F667="",0,$F667),$H667),0)</f>
        <v/>
      </c>
      <c r="J667" s="9" t="n"/>
      <c r="K667" s="9" t="n"/>
      <c r="L667" s="9" t="n"/>
    </row>
    <row r="668">
      <c r="A668" s="15" t="n"/>
      <c r="B668" s="9" t="n"/>
      <c r="C668" s="9" t="n"/>
      <c r="D668" s="17" t="n"/>
      <c r="E668" s="17" t="n"/>
      <c r="F668" s="10">
        <f>IF(OR($D668="",$E668=""),"",ROUND(MOD($E668-$D668,1)*24,2))</f>
        <v/>
      </c>
      <c r="G668" s="9" t="n"/>
      <c r="H668" s="10" t="n"/>
      <c r="I668" s="10">
        <f>IF($G668="Approved",IF($H668="",IF($F668="",0,$F668),$H668),0)</f>
        <v/>
      </c>
      <c r="J668" s="9" t="n"/>
      <c r="K668" s="9" t="n"/>
      <c r="L668" s="9" t="n"/>
    </row>
    <row r="669">
      <c r="A669" s="15" t="n"/>
      <c r="B669" s="9" t="n"/>
      <c r="C669" s="9" t="n"/>
      <c r="D669" s="17" t="n"/>
      <c r="E669" s="17" t="n"/>
      <c r="F669" s="10">
        <f>IF(OR($D669="",$E669=""),"",ROUND(MOD($E669-$D669,1)*24,2))</f>
        <v/>
      </c>
      <c r="G669" s="9" t="n"/>
      <c r="H669" s="10" t="n"/>
      <c r="I669" s="10">
        <f>IF($G669="Approved",IF($H669="",IF($F669="",0,$F669),$H669),0)</f>
        <v/>
      </c>
      <c r="J669" s="9" t="n"/>
      <c r="K669" s="9" t="n"/>
      <c r="L669" s="9" t="n"/>
    </row>
    <row r="670">
      <c r="A670" s="15" t="n"/>
      <c r="B670" s="9" t="n"/>
      <c r="C670" s="9" t="n"/>
      <c r="D670" s="17" t="n"/>
      <c r="E670" s="17" t="n"/>
      <c r="F670" s="10">
        <f>IF(OR($D670="",$E670=""),"",ROUND(MOD($E670-$D670,1)*24,2))</f>
        <v/>
      </c>
      <c r="G670" s="9" t="n"/>
      <c r="H670" s="10" t="n"/>
      <c r="I670" s="10">
        <f>IF($G670="Approved",IF($H670="",IF($F670="",0,$F670),$H670),0)</f>
        <v/>
      </c>
      <c r="J670" s="9" t="n"/>
      <c r="K670" s="9" t="n"/>
      <c r="L670" s="9" t="n"/>
    </row>
    <row r="671">
      <c r="A671" s="15" t="n"/>
      <c r="B671" s="9" t="n"/>
      <c r="C671" s="9" t="n"/>
      <c r="D671" s="17" t="n"/>
      <c r="E671" s="17" t="n"/>
      <c r="F671" s="10">
        <f>IF(OR($D671="",$E671=""),"",ROUND(MOD($E671-$D671,1)*24,2))</f>
        <v/>
      </c>
      <c r="G671" s="9" t="n"/>
      <c r="H671" s="10" t="n"/>
      <c r="I671" s="10">
        <f>IF($G671="Approved",IF($H671="",IF($F671="",0,$F671),$H671),0)</f>
        <v/>
      </c>
      <c r="J671" s="9" t="n"/>
      <c r="K671" s="9" t="n"/>
      <c r="L671" s="9" t="n"/>
    </row>
    <row r="672">
      <c r="A672" s="15" t="n"/>
      <c r="B672" s="9" t="n"/>
      <c r="C672" s="9" t="n"/>
      <c r="D672" s="17" t="n"/>
      <c r="E672" s="17" t="n"/>
      <c r="F672" s="10">
        <f>IF(OR($D672="",$E672=""),"",ROUND(MOD($E672-$D672,1)*24,2))</f>
        <v/>
      </c>
      <c r="G672" s="9" t="n"/>
      <c r="H672" s="10" t="n"/>
      <c r="I672" s="10">
        <f>IF($G672="Approved",IF($H672="",IF($F672="",0,$F672),$H672),0)</f>
        <v/>
      </c>
      <c r="J672" s="9" t="n"/>
      <c r="K672" s="9" t="n"/>
      <c r="L672" s="9" t="n"/>
    </row>
    <row r="673">
      <c r="A673" s="15" t="n"/>
      <c r="B673" s="9" t="n"/>
      <c r="C673" s="9" t="n"/>
      <c r="D673" s="17" t="n"/>
      <c r="E673" s="17" t="n"/>
      <c r="F673" s="10">
        <f>IF(OR($D673="",$E673=""),"",ROUND(MOD($E673-$D673,1)*24,2))</f>
        <v/>
      </c>
      <c r="G673" s="9" t="n"/>
      <c r="H673" s="10" t="n"/>
      <c r="I673" s="10">
        <f>IF($G673="Approved",IF($H673="",IF($F673="",0,$F673),$H673),0)</f>
        <v/>
      </c>
      <c r="J673" s="9" t="n"/>
      <c r="K673" s="9" t="n"/>
      <c r="L673" s="9" t="n"/>
    </row>
    <row r="674">
      <c r="A674" s="15" t="n"/>
      <c r="B674" s="9" t="n"/>
      <c r="C674" s="9" t="n"/>
      <c r="D674" s="17" t="n"/>
      <c r="E674" s="17" t="n"/>
      <c r="F674" s="10">
        <f>IF(OR($D674="",$E674=""),"",ROUND(MOD($E674-$D674,1)*24,2))</f>
        <v/>
      </c>
      <c r="G674" s="9" t="n"/>
      <c r="H674" s="10" t="n"/>
      <c r="I674" s="10">
        <f>IF($G674="Approved",IF($H674="",IF($F674="",0,$F674),$H674),0)</f>
        <v/>
      </c>
      <c r="J674" s="9" t="n"/>
      <c r="K674" s="9" t="n"/>
      <c r="L674" s="9" t="n"/>
    </row>
    <row r="675">
      <c r="A675" s="15" t="n"/>
      <c r="B675" s="9" t="n"/>
      <c r="C675" s="9" t="n"/>
      <c r="D675" s="17" t="n"/>
      <c r="E675" s="17" t="n"/>
      <c r="F675" s="10">
        <f>IF(OR($D675="",$E675=""),"",ROUND(MOD($E675-$D675,1)*24,2))</f>
        <v/>
      </c>
      <c r="G675" s="9" t="n"/>
      <c r="H675" s="10" t="n"/>
      <c r="I675" s="10">
        <f>IF($G675="Approved",IF($H675="",IF($F675="",0,$F675),$H675),0)</f>
        <v/>
      </c>
      <c r="J675" s="9" t="n"/>
      <c r="K675" s="9" t="n"/>
      <c r="L675" s="9" t="n"/>
    </row>
    <row r="676">
      <c r="A676" s="15" t="n"/>
      <c r="B676" s="9" t="n"/>
      <c r="C676" s="9" t="n"/>
      <c r="D676" s="17" t="n"/>
      <c r="E676" s="17" t="n"/>
      <c r="F676" s="10">
        <f>IF(OR($D676="",$E676=""),"",ROUND(MOD($E676-$D676,1)*24,2))</f>
        <v/>
      </c>
      <c r="G676" s="9" t="n"/>
      <c r="H676" s="10" t="n"/>
      <c r="I676" s="10">
        <f>IF($G676="Approved",IF($H676="",IF($F676="",0,$F676),$H676),0)</f>
        <v/>
      </c>
      <c r="J676" s="9" t="n"/>
      <c r="K676" s="9" t="n"/>
      <c r="L676" s="9" t="n"/>
    </row>
    <row r="677">
      <c r="A677" s="15" t="n"/>
      <c r="B677" s="9" t="n"/>
      <c r="C677" s="9" t="n"/>
      <c r="D677" s="17" t="n"/>
      <c r="E677" s="17" t="n"/>
      <c r="F677" s="10">
        <f>IF(OR($D677="",$E677=""),"",ROUND(MOD($E677-$D677,1)*24,2))</f>
        <v/>
      </c>
      <c r="G677" s="9" t="n"/>
      <c r="H677" s="10" t="n"/>
      <c r="I677" s="10">
        <f>IF($G677="Approved",IF($H677="",IF($F677="",0,$F677),$H677),0)</f>
        <v/>
      </c>
      <c r="J677" s="9" t="n"/>
      <c r="K677" s="9" t="n"/>
      <c r="L677" s="9" t="n"/>
    </row>
    <row r="678">
      <c r="A678" s="15" t="n"/>
      <c r="B678" s="9" t="n"/>
      <c r="C678" s="9" t="n"/>
      <c r="D678" s="17" t="n"/>
      <c r="E678" s="17" t="n"/>
      <c r="F678" s="10">
        <f>IF(OR($D678="",$E678=""),"",ROUND(MOD($E678-$D678,1)*24,2))</f>
        <v/>
      </c>
      <c r="G678" s="9" t="n"/>
      <c r="H678" s="10" t="n"/>
      <c r="I678" s="10">
        <f>IF($G678="Approved",IF($H678="",IF($F678="",0,$F678),$H678),0)</f>
        <v/>
      </c>
      <c r="J678" s="9" t="n"/>
      <c r="K678" s="9" t="n"/>
      <c r="L678" s="9" t="n"/>
    </row>
    <row r="679">
      <c r="A679" s="15" t="n"/>
      <c r="B679" s="9" t="n"/>
      <c r="C679" s="9" t="n"/>
      <c r="D679" s="17" t="n"/>
      <c r="E679" s="17" t="n"/>
      <c r="F679" s="10">
        <f>IF(OR($D679="",$E679=""),"",ROUND(MOD($E679-$D679,1)*24,2))</f>
        <v/>
      </c>
      <c r="G679" s="9" t="n"/>
      <c r="H679" s="10" t="n"/>
      <c r="I679" s="10">
        <f>IF($G679="Approved",IF($H679="",IF($F679="",0,$F679),$H679),0)</f>
        <v/>
      </c>
      <c r="J679" s="9" t="n"/>
      <c r="K679" s="9" t="n"/>
      <c r="L679" s="9" t="n"/>
    </row>
    <row r="680">
      <c r="A680" s="15" t="n"/>
      <c r="B680" s="9" t="n"/>
      <c r="C680" s="9" t="n"/>
      <c r="D680" s="17" t="n"/>
      <c r="E680" s="17" t="n"/>
      <c r="F680" s="10">
        <f>IF(OR($D680="",$E680=""),"",ROUND(MOD($E680-$D680,1)*24,2))</f>
        <v/>
      </c>
      <c r="G680" s="9" t="n"/>
      <c r="H680" s="10" t="n"/>
      <c r="I680" s="10">
        <f>IF($G680="Approved",IF($H680="",IF($F680="",0,$F680),$H680),0)</f>
        <v/>
      </c>
      <c r="J680" s="9" t="n"/>
      <c r="K680" s="9" t="n"/>
      <c r="L680" s="9" t="n"/>
    </row>
    <row r="681">
      <c r="A681" s="15" t="n"/>
      <c r="B681" s="9" t="n"/>
      <c r="C681" s="9" t="n"/>
      <c r="D681" s="17" t="n"/>
      <c r="E681" s="17" t="n"/>
      <c r="F681" s="10">
        <f>IF(OR($D681="",$E681=""),"",ROUND(MOD($E681-$D681,1)*24,2))</f>
        <v/>
      </c>
      <c r="G681" s="9" t="n"/>
      <c r="H681" s="10" t="n"/>
      <c r="I681" s="10">
        <f>IF($G681="Approved",IF($H681="",IF($F681="",0,$F681),$H681),0)</f>
        <v/>
      </c>
      <c r="J681" s="9" t="n"/>
      <c r="K681" s="9" t="n"/>
      <c r="L681" s="9" t="n"/>
    </row>
    <row r="682">
      <c r="A682" s="15" t="n"/>
      <c r="B682" s="9" t="n"/>
      <c r="C682" s="9" t="n"/>
      <c r="D682" s="17" t="n"/>
      <c r="E682" s="17" t="n"/>
      <c r="F682" s="10">
        <f>IF(OR($D682="",$E682=""),"",ROUND(MOD($E682-$D682,1)*24,2))</f>
        <v/>
      </c>
      <c r="G682" s="9" t="n"/>
      <c r="H682" s="10" t="n"/>
      <c r="I682" s="10">
        <f>IF($G682="Approved",IF($H682="",IF($F682="",0,$F682),$H682),0)</f>
        <v/>
      </c>
      <c r="J682" s="9" t="n"/>
      <c r="K682" s="9" t="n"/>
      <c r="L682" s="9" t="n"/>
    </row>
    <row r="683">
      <c r="A683" s="15" t="n"/>
      <c r="B683" s="9" t="n"/>
      <c r="C683" s="9" t="n"/>
      <c r="D683" s="17" t="n"/>
      <c r="E683" s="17" t="n"/>
      <c r="F683" s="10">
        <f>IF(OR($D683="",$E683=""),"",ROUND(MOD($E683-$D683,1)*24,2))</f>
        <v/>
      </c>
      <c r="G683" s="9" t="n"/>
      <c r="H683" s="10" t="n"/>
      <c r="I683" s="10">
        <f>IF($G683="Approved",IF($H683="",IF($F683="",0,$F683),$H683),0)</f>
        <v/>
      </c>
      <c r="J683" s="9" t="n"/>
      <c r="K683" s="9" t="n"/>
      <c r="L683" s="9" t="n"/>
    </row>
    <row r="684">
      <c r="A684" s="15" t="n"/>
      <c r="B684" s="9" t="n"/>
      <c r="C684" s="9" t="n"/>
      <c r="D684" s="17" t="n"/>
      <c r="E684" s="17" t="n"/>
      <c r="F684" s="10">
        <f>IF(OR($D684="",$E684=""),"",ROUND(MOD($E684-$D684,1)*24,2))</f>
        <v/>
      </c>
      <c r="G684" s="9" t="n"/>
      <c r="H684" s="10" t="n"/>
      <c r="I684" s="10">
        <f>IF($G684="Approved",IF($H684="",IF($F684="",0,$F684),$H684),0)</f>
        <v/>
      </c>
      <c r="J684" s="9" t="n"/>
      <c r="K684" s="9" t="n"/>
      <c r="L684" s="9" t="n"/>
    </row>
    <row r="685">
      <c r="A685" s="15" t="n"/>
      <c r="B685" s="9" t="n"/>
      <c r="C685" s="9" t="n"/>
      <c r="D685" s="17" t="n"/>
      <c r="E685" s="17" t="n"/>
      <c r="F685" s="10">
        <f>IF(OR($D685="",$E685=""),"",ROUND(MOD($E685-$D685,1)*24,2))</f>
        <v/>
      </c>
      <c r="G685" s="9" t="n"/>
      <c r="H685" s="10" t="n"/>
      <c r="I685" s="10">
        <f>IF($G685="Approved",IF($H685="",IF($F685="",0,$F685),$H685),0)</f>
        <v/>
      </c>
      <c r="J685" s="9" t="n"/>
      <c r="K685" s="9" t="n"/>
      <c r="L685" s="9" t="n"/>
    </row>
    <row r="686">
      <c r="A686" s="15" t="n"/>
      <c r="B686" s="9" t="n"/>
      <c r="C686" s="9" t="n"/>
      <c r="D686" s="17" t="n"/>
      <c r="E686" s="17" t="n"/>
      <c r="F686" s="10">
        <f>IF(OR($D686="",$E686=""),"",ROUND(MOD($E686-$D686,1)*24,2))</f>
        <v/>
      </c>
      <c r="G686" s="9" t="n"/>
      <c r="H686" s="10" t="n"/>
      <c r="I686" s="10">
        <f>IF($G686="Approved",IF($H686="",IF($F686="",0,$F686),$H686),0)</f>
        <v/>
      </c>
      <c r="J686" s="9" t="n"/>
      <c r="K686" s="9" t="n"/>
      <c r="L686" s="9" t="n"/>
    </row>
    <row r="687">
      <c r="A687" s="15" t="n"/>
      <c r="B687" s="9" t="n"/>
      <c r="C687" s="9" t="n"/>
      <c r="D687" s="17" t="n"/>
      <c r="E687" s="17" t="n"/>
      <c r="F687" s="10">
        <f>IF(OR($D687="",$E687=""),"",ROUND(MOD($E687-$D687,1)*24,2))</f>
        <v/>
      </c>
      <c r="G687" s="9" t="n"/>
      <c r="H687" s="10" t="n"/>
      <c r="I687" s="10">
        <f>IF($G687="Approved",IF($H687="",IF($F687="",0,$F687),$H687),0)</f>
        <v/>
      </c>
      <c r="J687" s="9" t="n"/>
      <c r="K687" s="9" t="n"/>
      <c r="L687" s="9" t="n"/>
    </row>
    <row r="688">
      <c r="A688" s="15" t="n"/>
      <c r="B688" s="9" t="n"/>
      <c r="C688" s="9" t="n"/>
      <c r="D688" s="17" t="n"/>
      <c r="E688" s="17" t="n"/>
      <c r="F688" s="10">
        <f>IF(OR($D688="",$E688=""),"",ROUND(MOD($E688-$D688,1)*24,2))</f>
        <v/>
      </c>
      <c r="G688" s="9" t="n"/>
      <c r="H688" s="10" t="n"/>
      <c r="I688" s="10">
        <f>IF($G688="Approved",IF($H688="",IF($F688="",0,$F688),$H688),0)</f>
        <v/>
      </c>
      <c r="J688" s="9" t="n"/>
      <c r="K688" s="9" t="n"/>
      <c r="L688" s="9" t="n"/>
    </row>
    <row r="689">
      <c r="A689" s="15" t="n"/>
      <c r="B689" s="9" t="n"/>
      <c r="C689" s="9" t="n"/>
      <c r="D689" s="17" t="n"/>
      <c r="E689" s="17" t="n"/>
      <c r="F689" s="10">
        <f>IF(OR($D689="",$E689=""),"",ROUND(MOD($E689-$D689,1)*24,2))</f>
        <v/>
      </c>
      <c r="G689" s="9" t="n"/>
      <c r="H689" s="10" t="n"/>
      <c r="I689" s="10">
        <f>IF($G689="Approved",IF($H689="",IF($F689="",0,$F689),$H689),0)</f>
        <v/>
      </c>
      <c r="J689" s="9" t="n"/>
      <c r="K689" s="9" t="n"/>
      <c r="L689" s="9" t="n"/>
    </row>
    <row r="690">
      <c r="A690" s="15" t="n"/>
      <c r="B690" s="9" t="n"/>
      <c r="C690" s="9" t="n"/>
      <c r="D690" s="17" t="n"/>
      <c r="E690" s="17" t="n"/>
      <c r="F690" s="10">
        <f>IF(OR($D690="",$E690=""),"",ROUND(MOD($E690-$D690,1)*24,2))</f>
        <v/>
      </c>
      <c r="G690" s="9" t="n"/>
      <c r="H690" s="10" t="n"/>
      <c r="I690" s="10">
        <f>IF($G690="Approved",IF($H690="",IF($F690="",0,$F690),$H690),0)</f>
        <v/>
      </c>
      <c r="J690" s="9" t="n"/>
      <c r="K690" s="9" t="n"/>
      <c r="L690" s="9" t="n"/>
    </row>
    <row r="691">
      <c r="A691" s="15" t="n"/>
      <c r="B691" s="9" t="n"/>
      <c r="C691" s="9" t="n"/>
      <c r="D691" s="17" t="n"/>
      <c r="E691" s="17" t="n"/>
      <c r="F691" s="10">
        <f>IF(OR($D691="",$E691=""),"",ROUND(MOD($E691-$D691,1)*24,2))</f>
        <v/>
      </c>
      <c r="G691" s="9" t="n"/>
      <c r="H691" s="10" t="n"/>
      <c r="I691" s="10">
        <f>IF($G691="Approved",IF($H691="",IF($F691="",0,$F691),$H691),0)</f>
        <v/>
      </c>
      <c r="J691" s="9" t="n"/>
      <c r="K691" s="9" t="n"/>
      <c r="L691" s="9" t="n"/>
    </row>
    <row r="692">
      <c r="A692" s="15" t="n"/>
      <c r="B692" s="9" t="n"/>
      <c r="C692" s="9" t="n"/>
      <c r="D692" s="17" t="n"/>
      <c r="E692" s="17" t="n"/>
      <c r="F692" s="10">
        <f>IF(OR($D692="",$E692=""),"",ROUND(MOD($E692-$D692,1)*24,2))</f>
        <v/>
      </c>
      <c r="G692" s="9" t="n"/>
      <c r="H692" s="10" t="n"/>
      <c r="I692" s="10">
        <f>IF($G692="Approved",IF($H692="",IF($F692="",0,$F692),$H692),0)</f>
        <v/>
      </c>
      <c r="J692" s="9" t="n"/>
      <c r="K692" s="9" t="n"/>
      <c r="L692" s="9" t="n"/>
    </row>
    <row r="693">
      <c r="A693" s="15" t="n"/>
      <c r="B693" s="9" t="n"/>
      <c r="C693" s="9" t="n"/>
      <c r="D693" s="17" t="n"/>
      <c r="E693" s="17" t="n"/>
      <c r="F693" s="10">
        <f>IF(OR($D693="",$E693=""),"",ROUND(MOD($E693-$D693,1)*24,2))</f>
        <v/>
      </c>
      <c r="G693" s="9" t="n"/>
      <c r="H693" s="10" t="n"/>
      <c r="I693" s="10">
        <f>IF($G693="Approved",IF($H693="",IF($F693="",0,$F693),$H693),0)</f>
        <v/>
      </c>
      <c r="J693" s="9" t="n"/>
      <c r="K693" s="9" t="n"/>
      <c r="L693" s="9" t="n"/>
    </row>
    <row r="694">
      <c r="A694" s="15" t="n"/>
      <c r="B694" s="9" t="n"/>
      <c r="C694" s="9" t="n"/>
      <c r="D694" s="17" t="n"/>
      <c r="E694" s="17" t="n"/>
      <c r="F694" s="10">
        <f>IF(OR($D694="",$E694=""),"",ROUND(MOD($E694-$D694,1)*24,2))</f>
        <v/>
      </c>
      <c r="G694" s="9" t="n"/>
      <c r="H694" s="10" t="n"/>
      <c r="I694" s="10">
        <f>IF($G694="Approved",IF($H694="",IF($F694="",0,$F694),$H694),0)</f>
        <v/>
      </c>
      <c r="J694" s="9" t="n"/>
      <c r="K694" s="9" t="n"/>
      <c r="L694" s="9" t="n"/>
    </row>
    <row r="695">
      <c r="A695" s="15" t="n"/>
      <c r="B695" s="9" t="n"/>
      <c r="C695" s="9" t="n"/>
      <c r="D695" s="17" t="n"/>
      <c r="E695" s="17" t="n"/>
      <c r="F695" s="10">
        <f>IF(OR($D695="",$E695=""),"",ROUND(MOD($E695-$D695,1)*24,2))</f>
        <v/>
      </c>
      <c r="G695" s="9" t="n"/>
      <c r="H695" s="10" t="n"/>
      <c r="I695" s="10">
        <f>IF($G695="Approved",IF($H695="",IF($F695="",0,$F695),$H695),0)</f>
        <v/>
      </c>
      <c r="J695" s="9" t="n"/>
      <c r="K695" s="9" t="n"/>
      <c r="L695" s="9" t="n"/>
    </row>
    <row r="696">
      <c r="A696" s="15" t="n"/>
      <c r="B696" s="9" t="n"/>
      <c r="C696" s="9" t="n"/>
      <c r="D696" s="17" t="n"/>
      <c r="E696" s="17" t="n"/>
      <c r="F696" s="10">
        <f>IF(OR($D696="",$E696=""),"",ROUND(MOD($E696-$D696,1)*24,2))</f>
        <v/>
      </c>
      <c r="G696" s="9" t="n"/>
      <c r="H696" s="10" t="n"/>
      <c r="I696" s="10">
        <f>IF($G696="Approved",IF($H696="",IF($F696="",0,$F696),$H696),0)</f>
        <v/>
      </c>
      <c r="J696" s="9" t="n"/>
      <c r="K696" s="9" t="n"/>
      <c r="L696" s="9" t="n"/>
    </row>
    <row r="697">
      <c r="A697" s="15" t="n"/>
      <c r="B697" s="9" t="n"/>
      <c r="C697" s="9" t="n"/>
      <c r="D697" s="17" t="n"/>
      <c r="E697" s="17" t="n"/>
      <c r="F697" s="10">
        <f>IF(OR($D697="",$E697=""),"",ROUND(MOD($E697-$D697,1)*24,2))</f>
        <v/>
      </c>
      <c r="G697" s="9" t="n"/>
      <c r="H697" s="10" t="n"/>
      <c r="I697" s="10">
        <f>IF($G697="Approved",IF($H697="",IF($F697="",0,$F697),$H697),0)</f>
        <v/>
      </c>
      <c r="J697" s="9" t="n"/>
      <c r="K697" s="9" t="n"/>
      <c r="L697" s="9" t="n"/>
    </row>
    <row r="698">
      <c r="A698" s="15" t="n"/>
      <c r="B698" s="9" t="n"/>
      <c r="C698" s="9" t="n"/>
      <c r="D698" s="17" t="n"/>
      <c r="E698" s="17" t="n"/>
      <c r="F698" s="10">
        <f>IF(OR($D698="",$E698=""),"",ROUND(MOD($E698-$D698,1)*24,2))</f>
        <v/>
      </c>
      <c r="G698" s="9" t="n"/>
      <c r="H698" s="10" t="n"/>
      <c r="I698" s="10">
        <f>IF($G698="Approved",IF($H698="",IF($F698="",0,$F698),$H698),0)</f>
        <v/>
      </c>
      <c r="J698" s="9" t="n"/>
      <c r="K698" s="9" t="n"/>
      <c r="L698" s="9" t="n"/>
    </row>
    <row r="699">
      <c r="A699" s="15" t="n"/>
      <c r="B699" s="9" t="n"/>
      <c r="C699" s="9" t="n"/>
      <c r="D699" s="17" t="n"/>
      <c r="E699" s="17" t="n"/>
      <c r="F699" s="10">
        <f>IF(OR($D699="",$E699=""),"",ROUND(MOD($E699-$D699,1)*24,2))</f>
        <v/>
      </c>
      <c r="G699" s="9" t="n"/>
      <c r="H699" s="10" t="n"/>
      <c r="I699" s="10">
        <f>IF($G699="Approved",IF($H699="",IF($F699="",0,$F699),$H699),0)</f>
        <v/>
      </c>
      <c r="J699" s="9" t="n"/>
      <c r="K699" s="9" t="n"/>
      <c r="L699" s="9" t="n"/>
    </row>
    <row r="700">
      <c r="A700" s="15" t="n"/>
      <c r="B700" s="9" t="n"/>
      <c r="C700" s="9" t="n"/>
      <c r="D700" s="17" t="n"/>
      <c r="E700" s="17" t="n"/>
      <c r="F700" s="10">
        <f>IF(OR($D700="",$E700=""),"",ROUND(MOD($E700-$D700,1)*24,2))</f>
        <v/>
      </c>
      <c r="G700" s="9" t="n"/>
      <c r="H700" s="10" t="n"/>
      <c r="I700" s="10">
        <f>IF($G700="Approved",IF($H700="",IF($F700="",0,$F700),$H700),0)</f>
        <v/>
      </c>
      <c r="J700" s="9" t="n"/>
      <c r="K700" s="9" t="n"/>
      <c r="L700" s="9" t="n"/>
    </row>
    <row r="701">
      <c r="A701" s="15" t="n"/>
      <c r="B701" s="9" t="n"/>
      <c r="C701" s="9" t="n"/>
      <c r="D701" s="17" t="n"/>
      <c r="E701" s="17" t="n"/>
      <c r="F701" s="10">
        <f>IF(OR($D701="",$E701=""),"",ROUND(MOD($E701-$D701,1)*24,2))</f>
        <v/>
      </c>
      <c r="G701" s="9" t="n"/>
      <c r="H701" s="10" t="n"/>
      <c r="I701" s="10">
        <f>IF($G701="Approved",IF($H701="",IF($F701="",0,$F701),$H701),0)</f>
        <v/>
      </c>
      <c r="J701" s="9" t="n"/>
      <c r="K701" s="9" t="n"/>
      <c r="L701" s="9" t="n"/>
    </row>
    <row r="702">
      <c r="A702" s="15" t="n"/>
      <c r="B702" s="9" t="n"/>
      <c r="C702" s="9" t="n"/>
      <c r="D702" s="17" t="n"/>
      <c r="E702" s="17" t="n"/>
      <c r="F702" s="10">
        <f>IF(OR($D702="",$E702=""),"",ROUND(MOD($E702-$D702,1)*24,2))</f>
        <v/>
      </c>
      <c r="G702" s="9" t="n"/>
      <c r="H702" s="10" t="n"/>
      <c r="I702" s="10">
        <f>IF($G702="Approved",IF($H702="",IF($F702="",0,$F702),$H702),0)</f>
        <v/>
      </c>
      <c r="J702" s="9" t="n"/>
      <c r="K702" s="9" t="n"/>
      <c r="L702" s="9" t="n"/>
    </row>
    <row r="703">
      <c r="A703" s="15" t="n"/>
      <c r="B703" s="9" t="n"/>
      <c r="C703" s="9" t="n"/>
      <c r="D703" s="17" t="n"/>
      <c r="E703" s="17" t="n"/>
      <c r="F703" s="10">
        <f>IF(OR($D703="",$E703=""),"",ROUND(MOD($E703-$D703,1)*24,2))</f>
        <v/>
      </c>
      <c r="G703" s="9" t="n"/>
      <c r="H703" s="10" t="n"/>
      <c r="I703" s="10">
        <f>IF($G703="Approved",IF($H703="",IF($F703="",0,$F703),$H703),0)</f>
        <v/>
      </c>
      <c r="J703" s="9" t="n"/>
      <c r="K703" s="9" t="n"/>
      <c r="L703" s="9" t="n"/>
    </row>
    <row r="704">
      <c r="A704" s="15" t="n"/>
      <c r="B704" s="9" t="n"/>
      <c r="C704" s="9" t="n"/>
      <c r="D704" s="17" t="n"/>
      <c r="E704" s="17" t="n"/>
      <c r="F704" s="10">
        <f>IF(OR($D704="",$E704=""),"",ROUND(MOD($E704-$D704,1)*24,2))</f>
        <v/>
      </c>
      <c r="G704" s="9" t="n"/>
      <c r="H704" s="10" t="n"/>
      <c r="I704" s="10">
        <f>IF($G704="Approved",IF($H704="",IF($F704="",0,$F704),$H704),0)</f>
        <v/>
      </c>
      <c r="J704" s="9" t="n"/>
      <c r="K704" s="9" t="n"/>
      <c r="L704" s="9" t="n"/>
    </row>
    <row r="705">
      <c r="A705" s="15" t="n"/>
      <c r="B705" s="9" t="n"/>
      <c r="C705" s="9" t="n"/>
      <c r="D705" s="17" t="n"/>
      <c r="E705" s="17" t="n"/>
      <c r="F705" s="10">
        <f>IF(OR($D705="",$E705=""),"",ROUND(MOD($E705-$D705,1)*24,2))</f>
        <v/>
      </c>
      <c r="G705" s="9" t="n"/>
      <c r="H705" s="10" t="n"/>
      <c r="I705" s="10">
        <f>IF($G705="Approved",IF($H705="",IF($F705="",0,$F705),$H705),0)</f>
        <v/>
      </c>
      <c r="J705" s="9" t="n"/>
      <c r="K705" s="9" t="n"/>
      <c r="L705" s="9" t="n"/>
    </row>
    <row r="706">
      <c r="A706" s="15" t="n"/>
      <c r="B706" s="9" t="n"/>
      <c r="C706" s="9" t="n"/>
      <c r="D706" s="17" t="n"/>
      <c r="E706" s="17" t="n"/>
      <c r="F706" s="10">
        <f>IF(OR($D706="",$E706=""),"",ROUND(MOD($E706-$D706,1)*24,2))</f>
        <v/>
      </c>
      <c r="G706" s="9" t="n"/>
      <c r="H706" s="10" t="n"/>
      <c r="I706" s="10">
        <f>IF($G706="Approved",IF($H706="",IF($F706="",0,$F706),$H706),0)</f>
        <v/>
      </c>
      <c r="J706" s="9" t="n"/>
      <c r="K706" s="9" t="n"/>
      <c r="L706" s="9" t="n"/>
    </row>
    <row r="707">
      <c r="A707" s="15" t="n"/>
      <c r="B707" s="9" t="n"/>
      <c r="C707" s="9" t="n"/>
      <c r="D707" s="17" t="n"/>
      <c r="E707" s="17" t="n"/>
      <c r="F707" s="10">
        <f>IF(OR($D707="",$E707=""),"",ROUND(MOD($E707-$D707,1)*24,2))</f>
        <v/>
      </c>
      <c r="G707" s="9" t="n"/>
      <c r="H707" s="10" t="n"/>
      <c r="I707" s="10">
        <f>IF($G707="Approved",IF($H707="",IF($F707="",0,$F707),$H707),0)</f>
        <v/>
      </c>
      <c r="J707" s="9" t="n"/>
      <c r="K707" s="9" t="n"/>
      <c r="L707" s="9" t="n"/>
    </row>
    <row r="708">
      <c r="A708" s="15" t="n"/>
      <c r="B708" s="9" t="n"/>
      <c r="C708" s="9" t="n"/>
      <c r="D708" s="17" t="n"/>
      <c r="E708" s="17" t="n"/>
      <c r="F708" s="10">
        <f>IF(OR($D708="",$E708=""),"",ROUND(MOD($E708-$D708,1)*24,2))</f>
        <v/>
      </c>
      <c r="G708" s="9" t="n"/>
      <c r="H708" s="10" t="n"/>
      <c r="I708" s="10">
        <f>IF($G708="Approved",IF($H708="",IF($F708="",0,$F708),$H708),0)</f>
        <v/>
      </c>
      <c r="J708" s="9" t="n"/>
      <c r="K708" s="9" t="n"/>
      <c r="L708" s="9" t="n"/>
    </row>
    <row r="709">
      <c r="A709" s="15" t="n"/>
      <c r="B709" s="9" t="n"/>
      <c r="C709" s="9" t="n"/>
      <c r="D709" s="17" t="n"/>
      <c r="E709" s="17" t="n"/>
      <c r="F709" s="10">
        <f>IF(OR($D709="",$E709=""),"",ROUND(MOD($E709-$D709,1)*24,2))</f>
        <v/>
      </c>
      <c r="G709" s="9" t="n"/>
      <c r="H709" s="10" t="n"/>
      <c r="I709" s="10">
        <f>IF($G709="Approved",IF($H709="",IF($F709="",0,$F709),$H709),0)</f>
        <v/>
      </c>
      <c r="J709" s="9" t="n"/>
      <c r="K709" s="9" t="n"/>
      <c r="L709" s="9" t="n"/>
    </row>
    <row r="710">
      <c r="A710" s="15" t="n"/>
      <c r="B710" s="9" t="n"/>
      <c r="C710" s="9" t="n"/>
      <c r="D710" s="17" t="n"/>
      <c r="E710" s="17" t="n"/>
      <c r="F710" s="10">
        <f>IF(OR($D710="",$E710=""),"",ROUND(MOD($E710-$D710,1)*24,2))</f>
        <v/>
      </c>
      <c r="G710" s="9" t="n"/>
      <c r="H710" s="10" t="n"/>
      <c r="I710" s="10">
        <f>IF($G710="Approved",IF($H710="",IF($F710="",0,$F710),$H710),0)</f>
        <v/>
      </c>
      <c r="J710" s="9" t="n"/>
      <c r="K710" s="9" t="n"/>
      <c r="L710" s="9" t="n"/>
    </row>
    <row r="711">
      <c r="A711" s="15" t="n"/>
      <c r="B711" s="9" t="n"/>
      <c r="C711" s="9" t="n"/>
      <c r="D711" s="17" t="n"/>
      <c r="E711" s="17" t="n"/>
      <c r="F711" s="10">
        <f>IF(OR($D711="",$E711=""),"",ROUND(MOD($E711-$D711,1)*24,2))</f>
        <v/>
      </c>
      <c r="G711" s="9" t="n"/>
      <c r="H711" s="10" t="n"/>
      <c r="I711" s="10">
        <f>IF($G711="Approved",IF($H711="",IF($F711="",0,$F711),$H711),0)</f>
        <v/>
      </c>
      <c r="J711" s="9" t="n"/>
      <c r="K711" s="9" t="n"/>
      <c r="L711" s="9" t="n"/>
    </row>
    <row r="712">
      <c r="A712" s="15" t="n"/>
      <c r="B712" s="9" t="n"/>
      <c r="C712" s="9" t="n"/>
      <c r="D712" s="17" t="n"/>
      <c r="E712" s="17" t="n"/>
      <c r="F712" s="10">
        <f>IF(OR($D712="",$E712=""),"",ROUND(MOD($E712-$D712,1)*24,2))</f>
        <v/>
      </c>
      <c r="G712" s="9" t="n"/>
      <c r="H712" s="10" t="n"/>
      <c r="I712" s="10">
        <f>IF($G712="Approved",IF($H712="",IF($F712="",0,$F712),$H712),0)</f>
        <v/>
      </c>
      <c r="J712" s="9" t="n"/>
      <c r="K712" s="9" t="n"/>
      <c r="L712" s="9" t="n"/>
    </row>
    <row r="713">
      <c r="A713" s="15" t="n"/>
      <c r="B713" s="9" t="n"/>
      <c r="C713" s="9" t="n"/>
      <c r="D713" s="17" t="n"/>
      <c r="E713" s="17" t="n"/>
      <c r="F713" s="10">
        <f>IF(OR($D713="",$E713=""),"",ROUND(MOD($E713-$D713,1)*24,2))</f>
        <v/>
      </c>
      <c r="G713" s="9" t="n"/>
      <c r="H713" s="10" t="n"/>
      <c r="I713" s="10">
        <f>IF($G713="Approved",IF($H713="",IF($F713="",0,$F713),$H713),0)</f>
        <v/>
      </c>
      <c r="J713" s="9" t="n"/>
      <c r="K713" s="9" t="n"/>
      <c r="L713" s="9" t="n"/>
    </row>
    <row r="714">
      <c r="A714" s="15" t="n"/>
      <c r="B714" s="9" t="n"/>
      <c r="C714" s="9" t="n"/>
      <c r="D714" s="17" t="n"/>
      <c r="E714" s="17" t="n"/>
      <c r="F714" s="10">
        <f>IF(OR($D714="",$E714=""),"",ROUND(MOD($E714-$D714,1)*24,2))</f>
        <v/>
      </c>
      <c r="G714" s="9" t="n"/>
      <c r="H714" s="10" t="n"/>
      <c r="I714" s="10">
        <f>IF($G714="Approved",IF($H714="",IF($F714="",0,$F714),$H714),0)</f>
        <v/>
      </c>
      <c r="J714" s="9" t="n"/>
      <c r="K714" s="9" t="n"/>
      <c r="L714" s="9" t="n"/>
    </row>
    <row r="715">
      <c r="A715" s="15" t="n"/>
      <c r="B715" s="9" t="n"/>
      <c r="C715" s="9" t="n"/>
      <c r="D715" s="17" t="n"/>
      <c r="E715" s="17" t="n"/>
      <c r="F715" s="10">
        <f>IF(OR($D715="",$E715=""),"",ROUND(MOD($E715-$D715,1)*24,2))</f>
        <v/>
      </c>
      <c r="G715" s="9" t="n"/>
      <c r="H715" s="10" t="n"/>
      <c r="I715" s="10">
        <f>IF($G715="Approved",IF($H715="",IF($F715="",0,$F715),$H715),0)</f>
        <v/>
      </c>
      <c r="J715" s="9" t="n"/>
      <c r="K715" s="9" t="n"/>
      <c r="L715" s="9" t="n"/>
    </row>
    <row r="716">
      <c r="A716" s="15" t="n"/>
      <c r="B716" s="9" t="n"/>
      <c r="C716" s="9" t="n"/>
      <c r="D716" s="17" t="n"/>
      <c r="E716" s="17" t="n"/>
      <c r="F716" s="10">
        <f>IF(OR($D716="",$E716=""),"",ROUND(MOD($E716-$D716,1)*24,2))</f>
        <v/>
      </c>
      <c r="G716" s="9" t="n"/>
      <c r="H716" s="10" t="n"/>
      <c r="I716" s="10">
        <f>IF($G716="Approved",IF($H716="",IF($F716="",0,$F716),$H716),0)</f>
        <v/>
      </c>
      <c r="J716" s="9" t="n"/>
      <c r="K716" s="9" t="n"/>
      <c r="L716" s="9" t="n"/>
    </row>
    <row r="717">
      <c r="A717" s="15" t="n"/>
      <c r="B717" s="9" t="n"/>
      <c r="C717" s="9" t="n"/>
      <c r="D717" s="17" t="n"/>
      <c r="E717" s="17" t="n"/>
      <c r="F717" s="10">
        <f>IF(OR($D717="",$E717=""),"",ROUND(MOD($E717-$D717,1)*24,2))</f>
        <v/>
      </c>
      <c r="G717" s="9" t="n"/>
      <c r="H717" s="10" t="n"/>
      <c r="I717" s="10">
        <f>IF($G717="Approved",IF($H717="",IF($F717="",0,$F717),$H717),0)</f>
        <v/>
      </c>
      <c r="J717" s="9" t="n"/>
      <c r="K717" s="9" t="n"/>
      <c r="L717" s="9" t="n"/>
    </row>
    <row r="718">
      <c r="A718" s="15" t="n"/>
      <c r="B718" s="9" t="n"/>
      <c r="C718" s="9" t="n"/>
      <c r="D718" s="17" t="n"/>
      <c r="E718" s="17" t="n"/>
      <c r="F718" s="10">
        <f>IF(OR($D718="",$E718=""),"",ROUND(MOD($E718-$D718,1)*24,2))</f>
        <v/>
      </c>
      <c r="G718" s="9" t="n"/>
      <c r="H718" s="10" t="n"/>
      <c r="I718" s="10">
        <f>IF($G718="Approved",IF($H718="",IF($F718="",0,$F718),$H718),0)</f>
        <v/>
      </c>
      <c r="J718" s="9" t="n"/>
      <c r="K718" s="9" t="n"/>
      <c r="L718" s="9" t="n"/>
    </row>
    <row r="719">
      <c r="A719" s="15" t="n"/>
      <c r="B719" s="9" t="n"/>
      <c r="C719" s="9" t="n"/>
      <c r="D719" s="17" t="n"/>
      <c r="E719" s="17" t="n"/>
      <c r="F719" s="10">
        <f>IF(OR($D719="",$E719=""),"",ROUND(MOD($E719-$D719,1)*24,2))</f>
        <v/>
      </c>
      <c r="G719" s="9" t="n"/>
      <c r="H719" s="10" t="n"/>
      <c r="I719" s="10">
        <f>IF($G719="Approved",IF($H719="",IF($F719="",0,$F719),$H719),0)</f>
        <v/>
      </c>
      <c r="J719" s="9" t="n"/>
      <c r="K719" s="9" t="n"/>
      <c r="L719" s="9" t="n"/>
    </row>
    <row r="720">
      <c r="A720" s="15" t="n"/>
      <c r="B720" s="9" t="n"/>
      <c r="C720" s="9" t="n"/>
      <c r="D720" s="17" t="n"/>
      <c r="E720" s="17" t="n"/>
      <c r="F720" s="10">
        <f>IF(OR($D720="",$E720=""),"",ROUND(MOD($E720-$D720,1)*24,2))</f>
        <v/>
      </c>
      <c r="G720" s="9" t="n"/>
      <c r="H720" s="10" t="n"/>
      <c r="I720" s="10">
        <f>IF($G720="Approved",IF($H720="",IF($F720="",0,$F720),$H720),0)</f>
        <v/>
      </c>
      <c r="J720" s="9" t="n"/>
      <c r="K720" s="9" t="n"/>
      <c r="L720" s="9" t="n"/>
    </row>
    <row r="721">
      <c r="A721" s="15" t="n"/>
      <c r="B721" s="9" t="n"/>
      <c r="C721" s="9" t="n"/>
      <c r="D721" s="17" t="n"/>
      <c r="E721" s="17" t="n"/>
      <c r="F721" s="10">
        <f>IF(OR($D721="",$E721=""),"",ROUND(MOD($E721-$D721,1)*24,2))</f>
        <v/>
      </c>
      <c r="G721" s="9" t="n"/>
      <c r="H721" s="10" t="n"/>
      <c r="I721" s="10">
        <f>IF($G721="Approved",IF($H721="",IF($F721="",0,$F721),$H721),0)</f>
        <v/>
      </c>
      <c r="J721" s="9" t="n"/>
      <c r="K721" s="9" t="n"/>
      <c r="L721" s="9" t="n"/>
    </row>
    <row r="722">
      <c r="A722" s="15" t="n"/>
      <c r="B722" s="9" t="n"/>
      <c r="C722" s="9" t="n"/>
      <c r="D722" s="17" t="n"/>
      <c r="E722" s="17" t="n"/>
      <c r="F722" s="10">
        <f>IF(OR($D722="",$E722=""),"",ROUND(MOD($E722-$D722,1)*24,2))</f>
        <v/>
      </c>
      <c r="G722" s="9" t="n"/>
      <c r="H722" s="10" t="n"/>
      <c r="I722" s="10">
        <f>IF($G722="Approved",IF($H722="",IF($F722="",0,$F722),$H722),0)</f>
        <v/>
      </c>
      <c r="J722" s="9" t="n"/>
      <c r="K722" s="9" t="n"/>
      <c r="L722" s="9" t="n"/>
    </row>
    <row r="723">
      <c r="A723" s="15" t="n"/>
      <c r="B723" s="9" t="n"/>
      <c r="C723" s="9" t="n"/>
      <c r="D723" s="17" t="n"/>
      <c r="E723" s="17" t="n"/>
      <c r="F723" s="10">
        <f>IF(OR($D723="",$E723=""),"",ROUND(MOD($E723-$D723,1)*24,2))</f>
        <v/>
      </c>
      <c r="G723" s="9" t="n"/>
      <c r="H723" s="10" t="n"/>
      <c r="I723" s="10">
        <f>IF($G723="Approved",IF($H723="",IF($F723="",0,$F723),$H723),0)</f>
        <v/>
      </c>
      <c r="J723" s="9" t="n"/>
      <c r="K723" s="9" t="n"/>
      <c r="L723" s="9" t="n"/>
    </row>
    <row r="724">
      <c r="A724" s="15" t="n"/>
      <c r="B724" s="9" t="n"/>
      <c r="C724" s="9" t="n"/>
      <c r="D724" s="17" t="n"/>
      <c r="E724" s="17" t="n"/>
      <c r="F724" s="10">
        <f>IF(OR($D724="",$E724=""),"",ROUND(MOD($E724-$D724,1)*24,2))</f>
        <v/>
      </c>
      <c r="G724" s="9" t="n"/>
      <c r="H724" s="10" t="n"/>
      <c r="I724" s="10">
        <f>IF($G724="Approved",IF($H724="",IF($F724="",0,$F724),$H724),0)</f>
        <v/>
      </c>
      <c r="J724" s="9" t="n"/>
      <c r="K724" s="9" t="n"/>
      <c r="L724" s="9" t="n"/>
    </row>
    <row r="725">
      <c r="A725" s="15" t="n"/>
      <c r="B725" s="9" t="n"/>
      <c r="C725" s="9" t="n"/>
      <c r="D725" s="17" t="n"/>
      <c r="E725" s="17" t="n"/>
      <c r="F725" s="10">
        <f>IF(OR($D725="",$E725=""),"",ROUND(MOD($E725-$D725,1)*24,2))</f>
        <v/>
      </c>
      <c r="G725" s="9" t="n"/>
      <c r="H725" s="10" t="n"/>
      <c r="I725" s="10">
        <f>IF($G725="Approved",IF($H725="",IF($F725="",0,$F725),$H725),0)</f>
        <v/>
      </c>
      <c r="J725" s="9" t="n"/>
      <c r="K725" s="9" t="n"/>
      <c r="L725" s="9" t="n"/>
    </row>
    <row r="726">
      <c r="A726" s="15" t="n"/>
      <c r="B726" s="9" t="n"/>
      <c r="C726" s="9" t="n"/>
      <c r="D726" s="17" t="n"/>
      <c r="E726" s="17" t="n"/>
      <c r="F726" s="10">
        <f>IF(OR($D726="",$E726=""),"",ROUND(MOD($E726-$D726,1)*24,2))</f>
        <v/>
      </c>
      <c r="G726" s="9" t="n"/>
      <c r="H726" s="10" t="n"/>
      <c r="I726" s="10">
        <f>IF($G726="Approved",IF($H726="",IF($F726="",0,$F726),$H726),0)</f>
        <v/>
      </c>
      <c r="J726" s="9" t="n"/>
      <c r="K726" s="9" t="n"/>
      <c r="L726" s="9" t="n"/>
    </row>
    <row r="727">
      <c r="A727" s="15" t="n"/>
      <c r="B727" s="9" t="n"/>
      <c r="C727" s="9" t="n"/>
      <c r="D727" s="17" t="n"/>
      <c r="E727" s="17" t="n"/>
      <c r="F727" s="10">
        <f>IF(OR($D727="",$E727=""),"",ROUND(MOD($E727-$D727,1)*24,2))</f>
        <v/>
      </c>
      <c r="G727" s="9" t="n"/>
      <c r="H727" s="10" t="n"/>
      <c r="I727" s="10">
        <f>IF($G727="Approved",IF($H727="",IF($F727="",0,$F727),$H727),0)</f>
        <v/>
      </c>
      <c r="J727" s="9" t="n"/>
      <c r="K727" s="9" t="n"/>
      <c r="L727" s="9" t="n"/>
    </row>
    <row r="728">
      <c r="A728" s="15" t="n"/>
      <c r="B728" s="9" t="n"/>
      <c r="C728" s="9" t="n"/>
      <c r="D728" s="17" t="n"/>
      <c r="E728" s="17" t="n"/>
      <c r="F728" s="10">
        <f>IF(OR($D728="",$E728=""),"",ROUND(MOD($E728-$D728,1)*24,2))</f>
        <v/>
      </c>
      <c r="G728" s="9" t="n"/>
      <c r="H728" s="10" t="n"/>
      <c r="I728" s="10">
        <f>IF($G728="Approved",IF($H728="",IF($F728="",0,$F728),$H728),0)</f>
        <v/>
      </c>
      <c r="J728" s="9" t="n"/>
      <c r="K728" s="9" t="n"/>
      <c r="L728" s="9" t="n"/>
    </row>
    <row r="729">
      <c r="A729" s="15" t="n"/>
      <c r="B729" s="9" t="n"/>
      <c r="C729" s="9" t="n"/>
      <c r="D729" s="17" t="n"/>
      <c r="E729" s="17" t="n"/>
      <c r="F729" s="10">
        <f>IF(OR($D729="",$E729=""),"",ROUND(MOD($E729-$D729,1)*24,2))</f>
        <v/>
      </c>
      <c r="G729" s="9" t="n"/>
      <c r="H729" s="10" t="n"/>
      <c r="I729" s="10">
        <f>IF($G729="Approved",IF($H729="",IF($F729="",0,$F729),$H729),0)</f>
        <v/>
      </c>
      <c r="J729" s="9" t="n"/>
      <c r="K729" s="9" t="n"/>
      <c r="L729" s="9" t="n"/>
    </row>
    <row r="730">
      <c r="A730" s="15" t="n"/>
      <c r="B730" s="9" t="n"/>
      <c r="C730" s="9" t="n"/>
      <c r="D730" s="17" t="n"/>
      <c r="E730" s="17" t="n"/>
      <c r="F730" s="10">
        <f>IF(OR($D730="",$E730=""),"",ROUND(MOD($E730-$D730,1)*24,2))</f>
        <v/>
      </c>
      <c r="G730" s="9" t="n"/>
      <c r="H730" s="10" t="n"/>
      <c r="I730" s="10">
        <f>IF($G730="Approved",IF($H730="",IF($F730="",0,$F730),$H730),0)</f>
        <v/>
      </c>
      <c r="J730" s="9" t="n"/>
      <c r="K730" s="9" t="n"/>
      <c r="L730" s="9" t="n"/>
    </row>
    <row r="731">
      <c r="A731" s="15" t="n"/>
      <c r="B731" s="9" t="n"/>
      <c r="C731" s="9" t="n"/>
      <c r="D731" s="17" t="n"/>
      <c r="E731" s="17" t="n"/>
      <c r="F731" s="10">
        <f>IF(OR($D731="",$E731=""),"",ROUND(MOD($E731-$D731,1)*24,2))</f>
        <v/>
      </c>
      <c r="G731" s="9" t="n"/>
      <c r="H731" s="10" t="n"/>
      <c r="I731" s="10">
        <f>IF($G731="Approved",IF($H731="",IF($F731="",0,$F731),$H731),0)</f>
        <v/>
      </c>
      <c r="J731" s="9" t="n"/>
      <c r="K731" s="9" t="n"/>
      <c r="L731" s="9" t="n"/>
    </row>
    <row r="732">
      <c r="A732" s="15" t="n"/>
      <c r="B732" s="9" t="n"/>
      <c r="C732" s="9" t="n"/>
      <c r="D732" s="17" t="n"/>
      <c r="E732" s="17" t="n"/>
      <c r="F732" s="10">
        <f>IF(OR($D732="",$E732=""),"",ROUND(MOD($E732-$D732,1)*24,2))</f>
        <v/>
      </c>
      <c r="G732" s="9" t="n"/>
      <c r="H732" s="10" t="n"/>
      <c r="I732" s="10">
        <f>IF($G732="Approved",IF($H732="",IF($F732="",0,$F732),$H732),0)</f>
        <v/>
      </c>
      <c r="J732" s="9" t="n"/>
      <c r="K732" s="9" t="n"/>
      <c r="L732" s="9" t="n"/>
    </row>
    <row r="733">
      <c r="A733" s="15" t="n"/>
      <c r="B733" s="9" t="n"/>
      <c r="C733" s="9" t="n"/>
      <c r="D733" s="17" t="n"/>
      <c r="E733" s="17" t="n"/>
      <c r="F733" s="10">
        <f>IF(OR($D733="",$E733=""),"",ROUND(MOD($E733-$D733,1)*24,2))</f>
        <v/>
      </c>
      <c r="G733" s="9" t="n"/>
      <c r="H733" s="10" t="n"/>
      <c r="I733" s="10">
        <f>IF($G733="Approved",IF($H733="",IF($F733="",0,$F733),$H733),0)</f>
        <v/>
      </c>
      <c r="J733" s="9" t="n"/>
      <c r="K733" s="9" t="n"/>
      <c r="L733" s="9" t="n"/>
    </row>
    <row r="734">
      <c r="A734" s="15" t="n"/>
      <c r="B734" s="9" t="n"/>
      <c r="C734" s="9" t="n"/>
      <c r="D734" s="17" t="n"/>
      <c r="E734" s="17" t="n"/>
      <c r="F734" s="10">
        <f>IF(OR($D734="",$E734=""),"",ROUND(MOD($E734-$D734,1)*24,2))</f>
        <v/>
      </c>
      <c r="G734" s="9" t="n"/>
      <c r="H734" s="10" t="n"/>
      <c r="I734" s="10">
        <f>IF($G734="Approved",IF($H734="",IF($F734="",0,$F734),$H734),0)</f>
        <v/>
      </c>
      <c r="J734" s="9" t="n"/>
      <c r="K734" s="9" t="n"/>
      <c r="L734" s="9" t="n"/>
    </row>
    <row r="735">
      <c r="A735" s="15" t="n"/>
      <c r="B735" s="9" t="n"/>
      <c r="C735" s="9" t="n"/>
      <c r="D735" s="17" t="n"/>
      <c r="E735" s="17" t="n"/>
      <c r="F735" s="10">
        <f>IF(OR($D735="",$E735=""),"",ROUND(MOD($E735-$D735,1)*24,2))</f>
        <v/>
      </c>
      <c r="G735" s="9" t="n"/>
      <c r="H735" s="10" t="n"/>
      <c r="I735" s="10">
        <f>IF($G735="Approved",IF($H735="",IF($F735="",0,$F735),$H735),0)</f>
        <v/>
      </c>
      <c r="J735" s="9" t="n"/>
      <c r="K735" s="9" t="n"/>
      <c r="L735" s="9" t="n"/>
    </row>
    <row r="736">
      <c r="A736" s="15" t="n"/>
      <c r="B736" s="9" t="n"/>
      <c r="C736" s="9" t="n"/>
      <c r="D736" s="17" t="n"/>
      <c r="E736" s="17" t="n"/>
      <c r="F736" s="10">
        <f>IF(OR($D736="",$E736=""),"",ROUND(MOD($E736-$D736,1)*24,2))</f>
        <v/>
      </c>
      <c r="G736" s="9" t="n"/>
      <c r="H736" s="10" t="n"/>
      <c r="I736" s="10">
        <f>IF($G736="Approved",IF($H736="",IF($F736="",0,$F736),$H736),0)</f>
        <v/>
      </c>
      <c r="J736" s="9" t="n"/>
      <c r="K736" s="9" t="n"/>
      <c r="L736" s="9" t="n"/>
    </row>
    <row r="737">
      <c r="A737" s="15" t="n"/>
      <c r="B737" s="9" t="n"/>
      <c r="C737" s="9" t="n"/>
      <c r="D737" s="17" t="n"/>
      <c r="E737" s="17" t="n"/>
      <c r="F737" s="10">
        <f>IF(OR($D737="",$E737=""),"",ROUND(MOD($E737-$D737,1)*24,2))</f>
        <v/>
      </c>
      <c r="G737" s="9" t="n"/>
      <c r="H737" s="10" t="n"/>
      <c r="I737" s="10">
        <f>IF($G737="Approved",IF($H737="",IF($F737="",0,$F737),$H737),0)</f>
        <v/>
      </c>
      <c r="J737" s="9" t="n"/>
      <c r="K737" s="9" t="n"/>
      <c r="L737" s="9" t="n"/>
    </row>
    <row r="738">
      <c r="A738" s="15" t="n"/>
      <c r="B738" s="9" t="n"/>
      <c r="C738" s="9" t="n"/>
      <c r="D738" s="17" t="n"/>
      <c r="E738" s="17" t="n"/>
      <c r="F738" s="10">
        <f>IF(OR($D738="",$E738=""),"",ROUND(MOD($E738-$D738,1)*24,2))</f>
        <v/>
      </c>
      <c r="G738" s="9" t="n"/>
      <c r="H738" s="10" t="n"/>
      <c r="I738" s="10">
        <f>IF($G738="Approved",IF($H738="",IF($F738="",0,$F738),$H738),0)</f>
        <v/>
      </c>
      <c r="J738" s="9" t="n"/>
      <c r="K738" s="9" t="n"/>
      <c r="L738" s="9" t="n"/>
    </row>
    <row r="739">
      <c r="A739" s="15" t="n"/>
      <c r="B739" s="9" t="n"/>
      <c r="C739" s="9" t="n"/>
      <c r="D739" s="17" t="n"/>
      <c r="E739" s="17" t="n"/>
      <c r="F739" s="10">
        <f>IF(OR($D739="",$E739=""),"",ROUND(MOD($E739-$D739,1)*24,2))</f>
        <v/>
      </c>
      <c r="G739" s="9" t="n"/>
      <c r="H739" s="10" t="n"/>
      <c r="I739" s="10">
        <f>IF($G739="Approved",IF($H739="",IF($F739="",0,$F739),$H739),0)</f>
        <v/>
      </c>
      <c r="J739" s="9" t="n"/>
      <c r="K739" s="9" t="n"/>
      <c r="L739" s="9" t="n"/>
    </row>
    <row r="740">
      <c r="A740" s="15" t="n"/>
      <c r="B740" s="9" t="n"/>
      <c r="C740" s="9" t="n"/>
      <c r="D740" s="17" t="n"/>
      <c r="E740" s="17" t="n"/>
      <c r="F740" s="10">
        <f>IF(OR($D740="",$E740=""),"",ROUND(MOD($E740-$D740,1)*24,2))</f>
        <v/>
      </c>
      <c r="G740" s="9" t="n"/>
      <c r="H740" s="10" t="n"/>
      <c r="I740" s="10">
        <f>IF($G740="Approved",IF($H740="",IF($F740="",0,$F740),$H740),0)</f>
        <v/>
      </c>
      <c r="J740" s="9" t="n"/>
      <c r="K740" s="9" t="n"/>
      <c r="L740" s="9" t="n"/>
    </row>
    <row r="741">
      <c r="A741" s="15" t="n"/>
      <c r="B741" s="9" t="n"/>
      <c r="C741" s="9" t="n"/>
      <c r="D741" s="17" t="n"/>
      <c r="E741" s="17" t="n"/>
      <c r="F741" s="10">
        <f>IF(OR($D741="",$E741=""),"",ROUND(MOD($E741-$D741,1)*24,2))</f>
        <v/>
      </c>
      <c r="G741" s="9" t="n"/>
      <c r="H741" s="10" t="n"/>
      <c r="I741" s="10">
        <f>IF($G741="Approved",IF($H741="",IF($F741="",0,$F741),$H741),0)</f>
        <v/>
      </c>
      <c r="J741" s="9" t="n"/>
      <c r="K741" s="9" t="n"/>
      <c r="L741" s="9" t="n"/>
    </row>
    <row r="742">
      <c r="A742" s="15" t="n"/>
      <c r="B742" s="9" t="n"/>
      <c r="C742" s="9" t="n"/>
      <c r="D742" s="17" t="n"/>
      <c r="E742" s="17" t="n"/>
      <c r="F742" s="10">
        <f>IF(OR($D742="",$E742=""),"",ROUND(MOD($E742-$D742,1)*24,2))</f>
        <v/>
      </c>
      <c r="G742" s="9" t="n"/>
      <c r="H742" s="10" t="n"/>
      <c r="I742" s="10">
        <f>IF($G742="Approved",IF($H742="",IF($F742="",0,$F742),$H742),0)</f>
        <v/>
      </c>
      <c r="J742" s="9" t="n"/>
      <c r="K742" s="9" t="n"/>
      <c r="L742" s="9" t="n"/>
    </row>
    <row r="743">
      <c r="A743" s="15" t="n"/>
      <c r="B743" s="9" t="n"/>
      <c r="C743" s="9" t="n"/>
      <c r="D743" s="17" t="n"/>
      <c r="E743" s="17" t="n"/>
      <c r="F743" s="10">
        <f>IF(OR($D743="",$E743=""),"",ROUND(MOD($E743-$D743,1)*24,2))</f>
        <v/>
      </c>
      <c r="G743" s="9" t="n"/>
      <c r="H743" s="10" t="n"/>
      <c r="I743" s="10">
        <f>IF($G743="Approved",IF($H743="",IF($F743="",0,$F743),$H743),0)</f>
        <v/>
      </c>
      <c r="J743" s="9" t="n"/>
      <c r="K743" s="9" t="n"/>
      <c r="L743" s="9" t="n"/>
    </row>
    <row r="744">
      <c r="A744" s="15" t="n"/>
      <c r="B744" s="9" t="n"/>
      <c r="C744" s="9" t="n"/>
      <c r="D744" s="17" t="n"/>
      <c r="E744" s="17" t="n"/>
      <c r="F744" s="10">
        <f>IF(OR($D744="",$E744=""),"",ROUND(MOD($E744-$D744,1)*24,2))</f>
        <v/>
      </c>
      <c r="G744" s="9" t="n"/>
      <c r="H744" s="10" t="n"/>
      <c r="I744" s="10">
        <f>IF($G744="Approved",IF($H744="",IF($F744="",0,$F744),$H744),0)</f>
        <v/>
      </c>
      <c r="J744" s="9" t="n"/>
      <c r="K744" s="9" t="n"/>
      <c r="L744" s="9" t="n"/>
    </row>
    <row r="745">
      <c r="A745" s="15" t="n"/>
      <c r="B745" s="9" t="n"/>
      <c r="C745" s="9" t="n"/>
      <c r="D745" s="17" t="n"/>
      <c r="E745" s="17" t="n"/>
      <c r="F745" s="10">
        <f>IF(OR($D745="",$E745=""),"",ROUND(MOD($E745-$D745,1)*24,2))</f>
        <v/>
      </c>
      <c r="G745" s="9" t="n"/>
      <c r="H745" s="10" t="n"/>
      <c r="I745" s="10">
        <f>IF($G745="Approved",IF($H745="",IF($F745="",0,$F745),$H745),0)</f>
        <v/>
      </c>
      <c r="J745" s="9" t="n"/>
      <c r="K745" s="9" t="n"/>
      <c r="L745" s="9" t="n"/>
    </row>
    <row r="746">
      <c r="A746" s="15" t="n"/>
      <c r="B746" s="9" t="n"/>
      <c r="C746" s="9" t="n"/>
      <c r="D746" s="17" t="n"/>
      <c r="E746" s="17" t="n"/>
      <c r="F746" s="10">
        <f>IF(OR($D746="",$E746=""),"",ROUND(MOD($E746-$D746,1)*24,2))</f>
        <v/>
      </c>
      <c r="G746" s="9" t="n"/>
      <c r="H746" s="10" t="n"/>
      <c r="I746" s="10">
        <f>IF($G746="Approved",IF($H746="",IF($F746="",0,$F746),$H746),0)</f>
        <v/>
      </c>
      <c r="J746" s="9" t="n"/>
      <c r="K746" s="9" t="n"/>
      <c r="L746" s="9" t="n"/>
    </row>
    <row r="747">
      <c r="A747" s="15" t="n"/>
      <c r="B747" s="9" t="n"/>
      <c r="C747" s="9" t="n"/>
      <c r="D747" s="17" t="n"/>
      <c r="E747" s="17" t="n"/>
      <c r="F747" s="10">
        <f>IF(OR($D747="",$E747=""),"",ROUND(MOD($E747-$D747,1)*24,2))</f>
        <v/>
      </c>
      <c r="G747" s="9" t="n"/>
      <c r="H747" s="10" t="n"/>
      <c r="I747" s="10">
        <f>IF($G747="Approved",IF($H747="",IF($F747="",0,$F747),$H747),0)</f>
        <v/>
      </c>
      <c r="J747" s="9" t="n"/>
      <c r="K747" s="9" t="n"/>
      <c r="L747" s="9" t="n"/>
    </row>
    <row r="748">
      <c r="A748" s="15" t="n"/>
      <c r="B748" s="9" t="n"/>
      <c r="C748" s="9" t="n"/>
      <c r="D748" s="17" t="n"/>
      <c r="E748" s="17" t="n"/>
      <c r="F748" s="10">
        <f>IF(OR($D748="",$E748=""),"",ROUND(MOD($E748-$D748,1)*24,2))</f>
        <v/>
      </c>
      <c r="G748" s="9" t="n"/>
      <c r="H748" s="10" t="n"/>
      <c r="I748" s="10">
        <f>IF($G748="Approved",IF($H748="",IF($F748="",0,$F748),$H748),0)</f>
        <v/>
      </c>
      <c r="J748" s="9" t="n"/>
      <c r="K748" s="9" t="n"/>
      <c r="L748" s="9" t="n"/>
    </row>
    <row r="749">
      <c r="A749" s="15" t="n"/>
      <c r="B749" s="9" t="n"/>
      <c r="C749" s="9" t="n"/>
      <c r="D749" s="17" t="n"/>
      <c r="E749" s="17" t="n"/>
      <c r="F749" s="10">
        <f>IF(OR($D749="",$E749=""),"",ROUND(MOD($E749-$D749,1)*24,2))</f>
        <v/>
      </c>
      <c r="G749" s="9" t="n"/>
      <c r="H749" s="10" t="n"/>
      <c r="I749" s="10">
        <f>IF($G749="Approved",IF($H749="",IF($F749="",0,$F749),$H749),0)</f>
        <v/>
      </c>
      <c r="J749" s="9" t="n"/>
      <c r="K749" s="9" t="n"/>
      <c r="L749" s="9" t="n"/>
    </row>
    <row r="750">
      <c r="A750" s="15" t="n"/>
      <c r="B750" s="9" t="n"/>
      <c r="C750" s="9" t="n"/>
      <c r="D750" s="17" t="n"/>
      <c r="E750" s="17" t="n"/>
      <c r="F750" s="10">
        <f>IF(OR($D750="",$E750=""),"",ROUND(MOD($E750-$D750,1)*24,2))</f>
        <v/>
      </c>
      <c r="G750" s="9" t="n"/>
      <c r="H750" s="10" t="n"/>
      <c r="I750" s="10">
        <f>IF($G750="Approved",IF($H750="",IF($F750="",0,$F750),$H750),0)</f>
        <v/>
      </c>
      <c r="J750" s="9" t="n"/>
      <c r="K750" s="9" t="n"/>
      <c r="L750" s="9" t="n"/>
    </row>
    <row r="751">
      <c r="A751" s="15" t="n"/>
      <c r="B751" s="9" t="n"/>
      <c r="C751" s="9" t="n"/>
      <c r="D751" s="17" t="n"/>
      <c r="E751" s="17" t="n"/>
      <c r="F751" s="10">
        <f>IF(OR($D751="",$E751=""),"",ROUND(MOD($E751-$D751,1)*24,2))</f>
        <v/>
      </c>
      <c r="G751" s="9" t="n"/>
      <c r="H751" s="10" t="n"/>
      <c r="I751" s="10">
        <f>IF($G751="Approved",IF($H751="",IF($F751="",0,$F751),$H751),0)</f>
        <v/>
      </c>
      <c r="J751" s="9" t="n"/>
      <c r="K751" s="9" t="n"/>
      <c r="L751" s="9" t="n"/>
    </row>
    <row r="752">
      <c r="A752" s="15" t="n"/>
      <c r="B752" s="9" t="n"/>
      <c r="C752" s="9" t="n"/>
      <c r="D752" s="17" t="n"/>
      <c r="E752" s="17" t="n"/>
      <c r="F752" s="10">
        <f>IF(OR($D752="",$E752=""),"",ROUND(MOD($E752-$D752,1)*24,2))</f>
        <v/>
      </c>
      <c r="G752" s="9" t="n"/>
      <c r="H752" s="10" t="n"/>
      <c r="I752" s="10">
        <f>IF($G752="Approved",IF($H752="",IF($F752="",0,$F752),$H752),0)</f>
        <v/>
      </c>
      <c r="J752" s="9" t="n"/>
      <c r="K752" s="9" t="n"/>
      <c r="L752" s="9" t="n"/>
    </row>
    <row r="753">
      <c r="A753" s="15" t="n"/>
      <c r="B753" s="9" t="n"/>
      <c r="C753" s="9" t="n"/>
      <c r="D753" s="17" t="n"/>
      <c r="E753" s="17" t="n"/>
      <c r="F753" s="10">
        <f>IF(OR($D753="",$E753=""),"",ROUND(MOD($E753-$D753,1)*24,2))</f>
        <v/>
      </c>
      <c r="G753" s="9" t="n"/>
      <c r="H753" s="10" t="n"/>
      <c r="I753" s="10">
        <f>IF($G753="Approved",IF($H753="",IF($F753="",0,$F753),$H753),0)</f>
        <v/>
      </c>
      <c r="J753" s="9" t="n"/>
      <c r="K753" s="9" t="n"/>
      <c r="L753" s="9" t="n"/>
    </row>
    <row r="754">
      <c r="A754" s="15" t="n"/>
      <c r="B754" s="9" t="n"/>
      <c r="C754" s="9" t="n"/>
      <c r="D754" s="17" t="n"/>
      <c r="E754" s="17" t="n"/>
      <c r="F754" s="10">
        <f>IF(OR($D754="",$E754=""),"",ROUND(MOD($E754-$D754,1)*24,2))</f>
        <v/>
      </c>
      <c r="G754" s="9" t="n"/>
      <c r="H754" s="10" t="n"/>
      <c r="I754" s="10">
        <f>IF($G754="Approved",IF($H754="",IF($F754="",0,$F754),$H754),0)</f>
        <v/>
      </c>
      <c r="J754" s="9" t="n"/>
      <c r="K754" s="9" t="n"/>
      <c r="L754" s="9" t="n"/>
    </row>
    <row r="755">
      <c r="A755" s="15" t="n"/>
      <c r="B755" s="9" t="n"/>
      <c r="C755" s="9" t="n"/>
      <c r="D755" s="17" t="n"/>
      <c r="E755" s="17" t="n"/>
      <c r="F755" s="10">
        <f>IF(OR($D755="",$E755=""),"",ROUND(MOD($E755-$D755,1)*24,2))</f>
        <v/>
      </c>
      <c r="G755" s="9" t="n"/>
      <c r="H755" s="10" t="n"/>
      <c r="I755" s="10">
        <f>IF($G755="Approved",IF($H755="",IF($F755="",0,$F755),$H755),0)</f>
        <v/>
      </c>
      <c r="J755" s="9" t="n"/>
      <c r="K755" s="9" t="n"/>
      <c r="L755" s="9" t="n"/>
    </row>
    <row r="756">
      <c r="A756" s="15" t="n"/>
      <c r="B756" s="9" t="n"/>
      <c r="C756" s="9" t="n"/>
      <c r="D756" s="17" t="n"/>
      <c r="E756" s="17" t="n"/>
      <c r="F756" s="10">
        <f>IF(OR($D756="",$E756=""),"",ROUND(MOD($E756-$D756,1)*24,2))</f>
        <v/>
      </c>
      <c r="G756" s="9" t="n"/>
      <c r="H756" s="10" t="n"/>
      <c r="I756" s="10">
        <f>IF($G756="Approved",IF($H756="",IF($F756="",0,$F756),$H756),0)</f>
        <v/>
      </c>
      <c r="J756" s="9" t="n"/>
      <c r="K756" s="9" t="n"/>
      <c r="L756" s="9" t="n"/>
    </row>
    <row r="757">
      <c r="A757" s="15" t="n"/>
      <c r="B757" s="9" t="n"/>
      <c r="C757" s="9" t="n"/>
      <c r="D757" s="17" t="n"/>
      <c r="E757" s="17" t="n"/>
      <c r="F757" s="10">
        <f>IF(OR($D757="",$E757=""),"",ROUND(MOD($E757-$D757,1)*24,2))</f>
        <v/>
      </c>
      <c r="G757" s="9" t="n"/>
      <c r="H757" s="10" t="n"/>
      <c r="I757" s="10">
        <f>IF($G757="Approved",IF($H757="",IF($F757="",0,$F757),$H757),0)</f>
        <v/>
      </c>
      <c r="J757" s="9" t="n"/>
      <c r="K757" s="9" t="n"/>
      <c r="L757" s="9" t="n"/>
    </row>
    <row r="758">
      <c r="A758" s="15" t="n"/>
      <c r="B758" s="9" t="n"/>
      <c r="C758" s="9" t="n"/>
      <c r="D758" s="17" t="n"/>
      <c r="E758" s="17" t="n"/>
      <c r="F758" s="10">
        <f>IF(OR($D758="",$E758=""),"",ROUND(MOD($E758-$D758,1)*24,2))</f>
        <v/>
      </c>
      <c r="G758" s="9" t="n"/>
      <c r="H758" s="10" t="n"/>
      <c r="I758" s="10">
        <f>IF($G758="Approved",IF($H758="",IF($F758="",0,$F758),$H758),0)</f>
        <v/>
      </c>
      <c r="J758" s="9" t="n"/>
      <c r="K758" s="9" t="n"/>
      <c r="L758" s="9" t="n"/>
    </row>
    <row r="759">
      <c r="A759" s="15" t="n"/>
      <c r="B759" s="9" t="n"/>
      <c r="C759" s="9" t="n"/>
      <c r="D759" s="17" t="n"/>
      <c r="E759" s="17" t="n"/>
      <c r="F759" s="10">
        <f>IF(OR($D759="",$E759=""),"",ROUND(MOD($E759-$D759,1)*24,2))</f>
        <v/>
      </c>
      <c r="G759" s="9" t="n"/>
      <c r="H759" s="10" t="n"/>
      <c r="I759" s="10">
        <f>IF($G759="Approved",IF($H759="",IF($F759="",0,$F759),$H759),0)</f>
        <v/>
      </c>
      <c r="J759" s="9" t="n"/>
      <c r="K759" s="9" t="n"/>
      <c r="L759" s="9" t="n"/>
    </row>
    <row r="760">
      <c r="A760" s="15" t="n"/>
      <c r="B760" s="9" t="n"/>
      <c r="C760" s="9" t="n"/>
      <c r="D760" s="17" t="n"/>
      <c r="E760" s="17" t="n"/>
      <c r="F760" s="10">
        <f>IF(OR($D760="",$E760=""),"",ROUND(MOD($E760-$D760,1)*24,2))</f>
        <v/>
      </c>
      <c r="G760" s="9" t="n"/>
      <c r="H760" s="10" t="n"/>
      <c r="I760" s="10">
        <f>IF($G760="Approved",IF($H760="",IF($F760="",0,$F760),$H760),0)</f>
        <v/>
      </c>
      <c r="J760" s="9" t="n"/>
      <c r="K760" s="9" t="n"/>
      <c r="L760" s="9" t="n"/>
    </row>
    <row r="761">
      <c r="A761" s="15" t="n"/>
      <c r="B761" s="9" t="n"/>
      <c r="C761" s="9" t="n"/>
      <c r="D761" s="17" t="n"/>
      <c r="E761" s="17" t="n"/>
      <c r="F761" s="10">
        <f>IF(OR($D761="",$E761=""),"",ROUND(MOD($E761-$D761,1)*24,2))</f>
        <v/>
      </c>
      <c r="G761" s="9" t="n"/>
      <c r="H761" s="10" t="n"/>
      <c r="I761" s="10">
        <f>IF($G761="Approved",IF($H761="",IF($F761="",0,$F761),$H761),0)</f>
        <v/>
      </c>
      <c r="J761" s="9" t="n"/>
      <c r="K761" s="9" t="n"/>
      <c r="L761" s="9" t="n"/>
    </row>
    <row r="762">
      <c r="A762" s="15" t="n"/>
      <c r="B762" s="9" t="n"/>
      <c r="C762" s="9" t="n"/>
      <c r="D762" s="17" t="n"/>
      <c r="E762" s="17" t="n"/>
      <c r="F762" s="10">
        <f>IF(OR($D762="",$E762=""),"",ROUND(MOD($E762-$D762,1)*24,2))</f>
        <v/>
      </c>
      <c r="G762" s="9" t="n"/>
      <c r="H762" s="10" t="n"/>
      <c r="I762" s="10">
        <f>IF($G762="Approved",IF($H762="",IF($F762="",0,$F762),$H762),0)</f>
        <v/>
      </c>
      <c r="J762" s="9" t="n"/>
      <c r="K762" s="9" t="n"/>
      <c r="L762" s="9" t="n"/>
    </row>
    <row r="763">
      <c r="A763" s="15" t="n"/>
      <c r="B763" s="9" t="n"/>
      <c r="C763" s="9" t="n"/>
      <c r="D763" s="17" t="n"/>
      <c r="E763" s="17" t="n"/>
      <c r="F763" s="10">
        <f>IF(OR($D763="",$E763=""),"",ROUND(MOD($E763-$D763,1)*24,2))</f>
        <v/>
      </c>
      <c r="G763" s="9" t="n"/>
      <c r="H763" s="10" t="n"/>
      <c r="I763" s="10">
        <f>IF($G763="Approved",IF($H763="",IF($F763="",0,$F763),$H763),0)</f>
        <v/>
      </c>
      <c r="J763" s="9" t="n"/>
      <c r="K763" s="9" t="n"/>
      <c r="L763" s="9" t="n"/>
    </row>
    <row r="764">
      <c r="A764" s="15" t="n"/>
      <c r="B764" s="9" t="n"/>
      <c r="C764" s="9" t="n"/>
      <c r="D764" s="17" t="n"/>
      <c r="E764" s="17" t="n"/>
      <c r="F764" s="10">
        <f>IF(OR($D764="",$E764=""),"",ROUND(MOD($E764-$D764,1)*24,2))</f>
        <v/>
      </c>
      <c r="G764" s="9" t="n"/>
      <c r="H764" s="10" t="n"/>
      <c r="I764" s="10">
        <f>IF($G764="Approved",IF($H764="",IF($F764="",0,$F764),$H764),0)</f>
        <v/>
      </c>
      <c r="J764" s="9" t="n"/>
      <c r="K764" s="9" t="n"/>
      <c r="L764" s="9" t="n"/>
    </row>
    <row r="765">
      <c r="A765" s="15" t="n"/>
      <c r="B765" s="9" t="n"/>
      <c r="C765" s="9" t="n"/>
      <c r="D765" s="17" t="n"/>
      <c r="E765" s="17" t="n"/>
      <c r="F765" s="10">
        <f>IF(OR($D765="",$E765=""),"",ROUND(MOD($E765-$D765,1)*24,2))</f>
        <v/>
      </c>
      <c r="G765" s="9" t="n"/>
      <c r="H765" s="10" t="n"/>
      <c r="I765" s="10">
        <f>IF($G765="Approved",IF($H765="",IF($F765="",0,$F765),$H765),0)</f>
        <v/>
      </c>
      <c r="J765" s="9" t="n"/>
      <c r="K765" s="9" t="n"/>
      <c r="L765" s="9" t="n"/>
    </row>
    <row r="766">
      <c r="A766" s="15" t="n"/>
      <c r="B766" s="9" t="n"/>
      <c r="C766" s="9" t="n"/>
      <c r="D766" s="17" t="n"/>
      <c r="E766" s="17" t="n"/>
      <c r="F766" s="10">
        <f>IF(OR($D766="",$E766=""),"",ROUND(MOD($E766-$D766,1)*24,2))</f>
        <v/>
      </c>
      <c r="G766" s="9" t="n"/>
      <c r="H766" s="10" t="n"/>
      <c r="I766" s="10">
        <f>IF($G766="Approved",IF($H766="",IF($F766="",0,$F766),$H766),0)</f>
        <v/>
      </c>
      <c r="J766" s="9" t="n"/>
      <c r="K766" s="9" t="n"/>
      <c r="L766" s="9" t="n"/>
    </row>
    <row r="767">
      <c r="A767" s="15" t="n"/>
      <c r="B767" s="9" t="n"/>
      <c r="C767" s="9" t="n"/>
      <c r="D767" s="17" t="n"/>
      <c r="E767" s="17" t="n"/>
      <c r="F767" s="10">
        <f>IF(OR($D767="",$E767=""),"",ROUND(MOD($E767-$D767,1)*24,2))</f>
        <v/>
      </c>
      <c r="G767" s="9" t="n"/>
      <c r="H767" s="10" t="n"/>
      <c r="I767" s="10">
        <f>IF($G767="Approved",IF($H767="",IF($F767="",0,$F767),$H767),0)</f>
        <v/>
      </c>
      <c r="J767" s="9" t="n"/>
      <c r="K767" s="9" t="n"/>
      <c r="L767" s="9" t="n"/>
    </row>
    <row r="768">
      <c r="A768" s="15" t="n"/>
      <c r="B768" s="9" t="n"/>
      <c r="C768" s="9" t="n"/>
      <c r="D768" s="17" t="n"/>
      <c r="E768" s="17" t="n"/>
      <c r="F768" s="10">
        <f>IF(OR($D768="",$E768=""),"",ROUND(MOD($E768-$D768,1)*24,2))</f>
        <v/>
      </c>
      <c r="G768" s="9" t="n"/>
      <c r="H768" s="10" t="n"/>
      <c r="I768" s="10">
        <f>IF($G768="Approved",IF($H768="",IF($F768="",0,$F768),$H768),0)</f>
        <v/>
      </c>
      <c r="J768" s="9" t="n"/>
      <c r="K768" s="9" t="n"/>
      <c r="L768" s="9" t="n"/>
    </row>
    <row r="769">
      <c r="A769" s="15" t="n"/>
      <c r="B769" s="9" t="n"/>
      <c r="C769" s="9" t="n"/>
      <c r="D769" s="17" t="n"/>
      <c r="E769" s="17" t="n"/>
      <c r="F769" s="10">
        <f>IF(OR($D769="",$E769=""),"",ROUND(MOD($E769-$D769,1)*24,2))</f>
        <v/>
      </c>
      <c r="G769" s="9" t="n"/>
      <c r="H769" s="10" t="n"/>
      <c r="I769" s="10">
        <f>IF($G769="Approved",IF($H769="",IF($F769="",0,$F769),$H769),0)</f>
        <v/>
      </c>
      <c r="J769" s="9" t="n"/>
      <c r="K769" s="9" t="n"/>
      <c r="L769" s="9" t="n"/>
    </row>
    <row r="770">
      <c r="A770" s="15" t="n"/>
      <c r="B770" s="9" t="n"/>
      <c r="C770" s="9" t="n"/>
      <c r="D770" s="17" t="n"/>
      <c r="E770" s="17" t="n"/>
      <c r="F770" s="10">
        <f>IF(OR($D770="",$E770=""),"",ROUND(MOD($E770-$D770,1)*24,2))</f>
        <v/>
      </c>
      <c r="G770" s="9" t="n"/>
      <c r="H770" s="10" t="n"/>
      <c r="I770" s="10">
        <f>IF($G770="Approved",IF($H770="",IF($F770="",0,$F770),$H770),0)</f>
        <v/>
      </c>
      <c r="J770" s="9" t="n"/>
      <c r="K770" s="9" t="n"/>
      <c r="L770" s="9" t="n"/>
    </row>
    <row r="771">
      <c r="A771" s="15" t="n"/>
      <c r="B771" s="9" t="n"/>
      <c r="C771" s="9" t="n"/>
      <c r="D771" s="17" t="n"/>
      <c r="E771" s="17" t="n"/>
      <c r="F771" s="10">
        <f>IF(OR($D771="",$E771=""),"",ROUND(MOD($E771-$D771,1)*24,2))</f>
        <v/>
      </c>
      <c r="G771" s="9" t="n"/>
      <c r="H771" s="10" t="n"/>
      <c r="I771" s="10">
        <f>IF($G771="Approved",IF($H771="",IF($F771="",0,$F771),$H771),0)</f>
        <v/>
      </c>
      <c r="J771" s="9" t="n"/>
      <c r="K771" s="9" t="n"/>
      <c r="L771" s="9" t="n"/>
    </row>
    <row r="772">
      <c r="A772" s="15" t="n"/>
      <c r="B772" s="9" t="n"/>
      <c r="C772" s="9" t="n"/>
      <c r="D772" s="17" t="n"/>
      <c r="E772" s="17" t="n"/>
      <c r="F772" s="10">
        <f>IF(OR($D772="",$E772=""),"",ROUND(MOD($E772-$D772,1)*24,2))</f>
        <v/>
      </c>
      <c r="G772" s="9" t="n"/>
      <c r="H772" s="10" t="n"/>
      <c r="I772" s="10">
        <f>IF($G772="Approved",IF($H772="",IF($F772="",0,$F772),$H772),0)</f>
        <v/>
      </c>
      <c r="J772" s="9" t="n"/>
      <c r="K772" s="9" t="n"/>
      <c r="L772" s="9" t="n"/>
    </row>
    <row r="773">
      <c r="A773" s="15" t="n"/>
      <c r="B773" s="9" t="n"/>
      <c r="C773" s="9" t="n"/>
      <c r="D773" s="17" t="n"/>
      <c r="E773" s="17" t="n"/>
      <c r="F773" s="10">
        <f>IF(OR($D773="",$E773=""),"",ROUND(MOD($E773-$D773,1)*24,2))</f>
        <v/>
      </c>
      <c r="G773" s="9" t="n"/>
      <c r="H773" s="10" t="n"/>
      <c r="I773" s="10">
        <f>IF($G773="Approved",IF($H773="",IF($F773="",0,$F773),$H773),0)</f>
        <v/>
      </c>
      <c r="J773" s="9" t="n"/>
      <c r="K773" s="9" t="n"/>
      <c r="L773" s="9" t="n"/>
    </row>
    <row r="774">
      <c r="A774" s="15" t="n"/>
      <c r="B774" s="9" t="n"/>
      <c r="C774" s="9" t="n"/>
      <c r="D774" s="17" t="n"/>
      <c r="E774" s="17" t="n"/>
      <c r="F774" s="10">
        <f>IF(OR($D774="",$E774=""),"",ROUND(MOD($E774-$D774,1)*24,2))</f>
        <v/>
      </c>
      <c r="G774" s="9" t="n"/>
      <c r="H774" s="10" t="n"/>
      <c r="I774" s="10">
        <f>IF($G774="Approved",IF($H774="",IF($F774="",0,$F774),$H774),0)</f>
        <v/>
      </c>
      <c r="J774" s="9" t="n"/>
      <c r="K774" s="9" t="n"/>
      <c r="L774" s="9" t="n"/>
    </row>
    <row r="775">
      <c r="A775" s="15" t="n"/>
      <c r="B775" s="9" t="n"/>
      <c r="C775" s="9" t="n"/>
      <c r="D775" s="17" t="n"/>
      <c r="E775" s="17" t="n"/>
      <c r="F775" s="10">
        <f>IF(OR($D775="",$E775=""),"",ROUND(MOD($E775-$D775,1)*24,2))</f>
        <v/>
      </c>
      <c r="G775" s="9" t="n"/>
      <c r="H775" s="10" t="n"/>
      <c r="I775" s="10">
        <f>IF($G775="Approved",IF($H775="",IF($F775="",0,$F775),$H775),0)</f>
        <v/>
      </c>
      <c r="J775" s="9" t="n"/>
      <c r="K775" s="9" t="n"/>
      <c r="L775" s="9" t="n"/>
    </row>
    <row r="776">
      <c r="A776" s="15" t="n"/>
      <c r="B776" s="9" t="n"/>
      <c r="C776" s="9" t="n"/>
      <c r="D776" s="17" t="n"/>
      <c r="E776" s="17" t="n"/>
      <c r="F776" s="10">
        <f>IF(OR($D776="",$E776=""),"",ROUND(MOD($E776-$D776,1)*24,2))</f>
        <v/>
      </c>
      <c r="G776" s="9" t="n"/>
      <c r="H776" s="10" t="n"/>
      <c r="I776" s="10">
        <f>IF($G776="Approved",IF($H776="",IF($F776="",0,$F776),$H776),0)</f>
        <v/>
      </c>
      <c r="J776" s="9" t="n"/>
      <c r="K776" s="9" t="n"/>
      <c r="L776" s="9" t="n"/>
    </row>
    <row r="777">
      <c r="A777" s="15" t="n"/>
      <c r="B777" s="9" t="n"/>
      <c r="C777" s="9" t="n"/>
      <c r="D777" s="17" t="n"/>
      <c r="E777" s="17" t="n"/>
      <c r="F777" s="10">
        <f>IF(OR($D777="",$E777=""),"",ROUND(MOD($E777-$D777,1)*24,2))</f>
        <v/>
      </c>
      <c r="G777" s="9" t="n"/>
      <c r="H777" s="10" t="n"/>
      <c r="I777" s="10">
        <f>IF($G777="Approved",IF($H777="",IF($F777="",0,$F777),$H777),0)</f>
        <v/>
      </c>
      <c r="J777" s="9" t="n"/>
      <c r="K777" s="9" t="n"/>
      <c r="L777" s="9" t="n"/>
    </row>
    <row r="778">
      <c r="A778" s="15" t="n"/>
      <c r="B778" s="9" t="n"/>
      <c r="C778" s="9" t="n"/>
      <c r="D778" s="17" t="n"/>
      <c r="E778" s="17" t="n"/>
      <c r="F778" s="10">
        <f>IF(OR($D778="",$E778=""),"",ROUND(MOD($E778-$D778,1)*24,2))</f>
        <v/>
      </c>
      <c r="G778" s="9" t="n"/>
      <c r="H778" s="10" t="n"/>
      <c r="I778" s="10">
        <f>IF($G778="Approved",IF($H778="",IF($F778="",0,$F778),$H778),0)</f>
        <v/>
      </c>
      <c r="J778" s="9" t="n"/>
      <c r="K778" s="9" t="n"/>
      <c r="L778" s="9" t="n"/>
    </row>
    <row r="779">
      <c r="A779" s="15" t="n"/>
      <c r="B779" s="9" t="n"/>
      <c r="C779" s="9" t="n"/>
      <c r="D779" s="17" t="n"/>
      <c r="E779" s="17" t="n"/>
      <c r="F779" s="10">
        <f>IF(OR($D779="",$E779=""),"",ROUND(MOD($E779-$D779,1)*24,2))</f>
        <v/>
      </c>
      <c r="G779" s="9" t="n"/>
      <c r="H779" s="10" t="n"/>
      <c r="I779" s="10">
        <f>IF($G779="Approved",IF($H779="",IF($F779="",0,$F779),$H779),0)</f>
        <v/>
      </c>
      <c r="J779" s="9" t="n"/>
      <c r="K779" s="9" t="n"/>
      <c r="L779" s="9" t="n"/>
    </row>
    <row r="780">
      <c r="A780" s="15" t="n"/>
      <c r="B780" s="9" t="n"/>
      <c r="C780" s="9" t="n"/>
      <c r="D780" s="17" t="n"/>
      <c r="E780" s="17" t="n"/>
      <c r="F780" s="10">
        <f>IF(OR($D780="",$E780=""),"",ROUND(MOD($E780-$D780,1)*24,2))</f>
        <v/>
      </c>
      <c r="G780" s="9" t="n"/>
      <c r="H780" s="10" t="n"/>
      <c r="I780" s="10">
        <f>IF($G780="Approved",IF($H780="",IF($F780="",0,$F780),$H780),0)</f>
        <v/>
      </c>
      <c r="J780" s="9" t="n"/>
      <c r="K780" s="9" t="n"/>
      <c r="L780" s="9" t="n"/>
    </row>
    <row r="781">
      <c r="A781" s="15" t="n"/>
      <c r="B781" s="9" t="n"/>
      <c r="C781" s="9" t="n"/>
      <c r="D781" s="17" t="n"/>
      <c r="E781" s="17" t="n"/>
      <c r="F781" s="10">
        <f>IF(OR($D781="",$E781=""),"",ROUND(MOD($E781-$D781,1)*24,2))</f>
        <v/>
      </c>
      <c r="G781" s="9" t="n"/>
      <c r="H781" s="10" t="n"/>
      <c r="I781" s="10">
        <f>IF($G781="Approved",IF($H781="",IF($F781="",0,$F781),$H781),0)</f>
        <v/>
      </c>
      <c r="J781" s="9" t="n"/>
      <c r="K781" s="9" t="n"/>
      <c r="L781" s="9" t="n"/>
    </row>
    <row r="782">
      <c r="A782" s="15" t="n"/>
      <c r="B782" s="9" t="n"/>
      <c r="C782" s="9" t="n"/>
      <c r="D782" s="17" t="n"/>
      <c r="E782" s="17" t="n"/>
      <c r="F782" s="10">
        <f>IF(OR($D782="",$E782=""),"",ROUND(MOD($E782-$D782,1)*24,2))</f>
        <v/>
      </c>
      <c r="G782" s="9" t="n"/>
      <c r="H782" s="10" t="n"/>
      <c r="I782" s="10">
        <f>IF($G782="Approved",IF($H782="",IF($F782="",0,$F782),$H782),0)</f>
        <v/>
      </c>
      <c r="J782" s="9" t="n"/>
      <c r="K782" s="9" t="n"/>
      <c r="L782" s="9" t="n"/>
    </row>
    <row r="783">
      <c r="A783" s="15" t="n"/>
      <c r="B783" s="9" t="n"/>
      <c r="C783" s="9" t="n"/>
      <c r="D783" s="17" t="n"/>
      <c r="E783" s="17" t="n"/>
      <c r="F783" s="10">
        <f>IF(OR($D783="",$E783=""),"",ROUND(MOD($E783-$D783,1)*24,2))</f>
        <v/>
      </c>
      <c r="G783" s="9" t="n"/>
      <c r="H783" s="10" t="n"/>
      <c r="I783" s="10">
        <f>IF($G783="Approved",IF($H783="",IF($F783="",0,$F783),$H783),0)</f>
        <v/>
      </c>
      <c r="J783" s="9" t="n"/>
      <c r="K783" s="9" t="n"/>
      <c r="L783" s="9" t="n"/>
    </row>
    <row r="784">
      <c r="A784" s="15" t="n"/>
      <c r="B784" s="9" t="n"/>
      <c r="C784" s="9" t="n"/>
      <c r="D784" s="17" t="n"/>
      <c r="E784" s="17" t="n"/>
      <c r="F784" s="10">
        <f>IF(OR($D784="",$E784=""),"",ROUND(MOD($E784-$D784,1)*24,2))</f>
        <v/>
      </c>
      <c r="G784" s="9" t="n"/>
      <c r="H784" s="10" t="n"/>
      <c r="I784" s="10">
        <f>IF($G784="Approved",IF($H784="",IF($F784="",0,$F784),$H784),0)</f>
        <v/>
      </c>
      <c r="J784" s="9" t="n"/>
      <c r="K784" s="9" t="n"/>
      <c r="L784" s="9" t="n"/>
    </row>
    <row r="785">
      <c r="A785" s="15" t="n"/>
      <c r="B785" s="9" t="n"/>
      <c r="C785" s="9" t="n"/>
      <c r="D785" s="17" t="n"/>
      <c r="E785" s="17" t="n"/>
      <c r="F785" s="10">
        <f>IF(OR($D785="",$E785=""),"",ROUND(MOD($E785-$D785,1)*24,2))</f>
        <v/>
      </c>
      <c r="G785" s="9" t="n"/>
      <c r="H785" s="10" t="n"/>
      <c r="I785" s="10">
        <f>IF($G785="Approved",IF($H785="",IF($F785="",0,$F785),$H785),0)</f>
        <v/>
      </c>
      <c r="J785" s="9" t="n"/>
      <c r="K785" s="9" t="n"/>
      <c r="L785" s="9" t="n"/>
    </row>
    <row r="786">
      <c r="A786" s="15" t="n"/>
      <c r="B786" s="9" t="n"/>
      <c r="C786" s="9" t="n"/>
      <c r="D786" s="17" t="n"/>
      <c r="E786" s="17" t="n"/>
      <c r="F786" s="10">
        <f>IF(OR($D786="",$E786=""),"",ROUND(MOD($E786-$D786,1)*24,2))</f>
        <v/>
      </c>
      <c r="G786" s="9" t="n"/>
      <c r="H786" s="10" t="n"/>
      <c r="I786" s="10">
        <f>IF($G786="Approved",IF($H786="",IF($F786="",0,$F786),$H786),0)</f>
        <v/>
      </c>
      <c r="J786" s="9" t="n"/>
      <c r="K786" s="9" t="n"/>
      <c r="L786" s="9" t="n"/>
    </row>
    <row r="787">
      <c r="A787" s="15" t="n"/>
      <c r="B787" s="9" t="n"/>
      <c r="C787" s="9" t="n"/>
      <c r="D787" s="17" t="n"/>
      <c r="E787" s="17" t="n"/>
      <c r="F787" s="10">
        <f>IF(OR($D787="",$E787=""),"",ROUND(MOD($E787-$D787,1)*24,2))</f>
        <v/>
      </c>
      <c r="G787" s="9" t="n"/>
      <c r="H787" s="10" t="n"/>
      <c r="I787" s="10">
        <f>IF($G787="Approved",IF($H787="",IF($F787="",0,$F787),$H787),0)</f>
        <v/>
      </c>
      <c r="J787" s="9" t="n"/>
      <c r="K787" s="9" t="n"/>
      <c r="L787" s="9" t="n"/>
    </row>
    <row r="788">
      <c r="A788" s="15" t="n"/>
      <c r="B788" s="9" t="n"/>
      <c r="C788" s="9" t="n"/>
      <c r="D788" s="17" t="n"/>
      <c r="E788" s="17" t="n"/>
      <c r="F788" s="10">
        <f>IF(OR($D788="",$E788=""),"",ROUND(MOD($E788-$D788,1)*24,2))</f>
        <v/>
      </c>
      <c r="G788" s="9" t="n"/>
      <c r="H788" s="10" t="n"/>
      <c r="I788" s="10">
        <f>IF($G788="Approved",IF($H788="",IF($F788="",0,$F788),$H788),0)</f>
        <v/>
      </c>
      <c r="J788" s="9" t="n"/>
      <c r="K788" s="9" t="n"/>
      <c r="L788" s="9" t="n"/>
    </row>
    <row r="789">
      <c r="A789" s="15" t="n"/>
      <c r="B789" s="9" t="n"/>
      <c r="C789" s="9" t="n"/>
      <c r="D789" s="17" t="n"/>
      <c r="E789" s="17" t="n"/>
      <c r="F789" s="10">
        <f>IF(OR($D789="",$E789=""),"",ROUND(MOD($E789-$D789,1)*24,2))</f>
        <v/>
      </c>
      <c r="G789" s="9" t="n"/>
      <c r="H789" s="10" t="n"/>
      <c r="I789" s="10">
        <f>IF($G789="Approved",IF($H789="",IF($F789="",0,$F789),$H789),0)</f>
        <v/>
      </c>
      <c r="J789" s="9" t="n"/>
      <c r="K789" s="9" t="n"/>
      <c r="L789" s="9" t="n"/>
    </row>
    <row r="790">
      <c r="A790" s="15" t="n"/>
      <c r="B790" s="9" t="n"/>
      <c r="C790" s="9" t="n"/>
      <c r="D790" s="17" t="n"/>
      <c r="E790" s="17" t="n"/>
      <c r="F790" s="10">
        <f>IF(OR($D790="",$E790=""),"",ROUND(MOD($E790-$D790,1)*24,2))</f>
        <v/>
      </c>
      <c r="G790" s="9" t="n"/>
      <c r="H790" s="10" t="n"/>
      <c r="I790" s="10">
        <f>IF($G790="Approved",IF($H790="",IF($F790="",0,$F790),$H790),0)</f>
        <v/>
      </c>
      <c r="J790" s="9" t="n"/>
      <c r="K790" s="9" t="n"/>
      <c r="L790" s="9" t="n"/>
    </row>
    <row r="791">
      <c r="A791" s="15" t="n"/>
      <c r="B791" s="9" t="n"/>
      <c r="C791" s="9" t="n"/>
      <c r="D791" s="17" t="n"/>
      <c r="E791" s="17" t="n"/>
      <c r="F791" s="10">
        <f>IF(OR($D791="",$E791=""),"",ROUND(MOD($E791-$D791,1)*24,2))</f>
        <v/>
      </c>
      <c r="G791" s="9" t="n"/>
      <c r="H791" s="10" t="n"/>
      <c r="I791" s="10">
        <f>IF($G791="Approved",IF($H791="",IF($F791="",0,$F791),$H791),0)</f>
        <v/>
      </c>
      <c r="J791" s="9" t="n"/>
      <c r="K791" s="9" t="n"/>
      <c r="L791" s="9" t="n"/>
    </row>
    <row r="792">
      <c r="A792" s="15" t="n"/>
      <c r="B792" s="9" t="n"/>
      <c r="C792" s="9" t="n"/>
      <c r="D792" s="17" t="n"/>
      <c r="E792" s="17" t="n"/>
      <c r="F792" s="10">
        <f>IF(OR($D792="",$E792=""),"",ROUND(MOD($E792-$D792,1)*24,2))</f>
        <v/>
      </c>
      <c r="G792" s="9" t="n"/>
      <c r="H792" s="10" t="n"/>
      <c r="I792" s="10">
        <f>IF($G792="Approved",IF($H792="",IF($F792="",0,$F792),$H792),0)</f>
        <v/>
      </c>
      <c r="J792" s="9" t="n"/>
      <c r="K792" s="9" t="n"/>
      <c r="L792" s="9" t="n"/>
    </row>
    <row r="793">
      <c r="A793" s="15" t="n"/>
      <c r="B793" s="9" t="n"/>
      <c r="C793" s="9" t="n"/>
      <c r="D793" s="17" t="n"/>
      <c r="E793" s="17" t="n"/>
      <c r="F793" s="10">
        <f>IF(OR($D793="",$E793=""),"",ROUND(MOD($E793-$D793,1)*24,2))</f>
        <v/>
      </c>
      <c r="G793" s="9" t="n"/>
      <c r="H793" s="10" t="n"/>
      <c r="I793" s="10">
        <f>IF($G793="Approved",IF($H793="",IF($F793="",0,$F793),$H793),0)</f>
        <v/>
      </c>
      <c r="J793" s="9" t="n"/>
      <c r="K793" s="9" t="n"/>
      <c r="L793" s="9" t="n"/>
    </row>
    <row r="794">
      <c r="A794" s="15" t="n"/>
      <c r="B794" s="9" t="n"/>
      <c r="C794" s="9" t="n"/>
      <c r="D794" s="17" t="n"/>
      <c r="E794" s="17" t="n"/>
      <c r="F794" s="10">
        <f>IF(OR($D794="",$E794=""),"",ROUND(MOD($E794-$D794,1)*24,2))</f>
        <v/>
      </c>
      <c r="G794" s="9" t="n"/>
      <c r="H794" s="10" t="n"/>
      <c r="I794" s="10">
        <f>IF($G794="Approved",IF($H794="",IF($F794="",0,$F794),$H794),0)</f>
        <v/>
      </c>
      <c r="J794" s="9" t="n"/>
      <c r="K794" s="9" t="n"/>
      <c r="L794" s="9" t="n"/>
    </row>
    <row r="795">
      <c r="A795" s="15" t="n"/>
      <c r="B795" s="9" t="n"/>
      <c r="C795" s="9" t="n"/>
      <c r="D795" s="17" t="n"/>
      <c r="E795" s="17" t="n"/>
      <c r="F795" s="10">
        <f>IF(OR($D795="",$E795=""),"",ROUND(MOD($E795-$D795,1)*24,2))</f>
        <v/>
      </c>
      <c r="G795" s="9" t="n"/>
      <c r="H795" s="10" t="n"/>
      <c r="I795" s="10">
        <f>IF($G795="Approved",IF($H795="",IF($F795="",0,$F795),$H795),0)</f>
        <v/>
      </c>
      <c r="J795" s="9" t="n"/>
      <c r="K795" s="9" t="n"/>
      <c r="L795" s="9" t="n"/>
    </row>
    <row r="796">
      <c r="A796" s="15" t="n"/>
      <c r="B796" s="9" t="n"/>
      <c r="C796" s="9" t="n"/>
      <c r="D796" s="17" t="n"/>
      <c r="E796" s="17" t="n"/>
      <c r="F796" s="10">
        <f>IF(OR($D796="",$E796=""),"",ROUND(MOD($E796-$D796,1)*24,2))</f>
        <v/>
      </c>
      <c r="G796" s="9" t="n"/>
      <c r="H796" s="10" t="n"/>
      <c r="I796" s="10">
        <f>IF($G796="Approved",IF($H796="",IF($F796="",0,$F796),$H796),0)</f>
        <v/>
      </c>
      <c r="J796" s="9" t="n"/>
      <c r="K796" s="9" t="n"/>
      <c r="L796" s="9" t="n"/>
    </row>
    <row r="797">
      <c r="A797" s="15" t="n"/>
      <c r="B797" s="9" t="n"/>
      <c r="C797" s="9" t="n"/>
      <c r="D797" s="17" t="n"/>
      <c r="E797" s="17" t="n"/>
      <c r="F797" s="10">
        <f>IF(OR($D797="",$E797=""),"",ROUND(MOD($E797-$D797,1)*24,2))</f>
        <v/>
      </c>
      <c r="G797" s="9" t="n"/>
      <c r="H797" s="10" t="n"/>
      <c r="I797" s="10">
        <f>IF($G797="Approved",IF($H797="",IF($F797="",0,$F797),$H797),0)</f>
        <v/>
      </c>
      <c r="J797" s="9" t="n"/>
      <c r="K797" s="9" t="n"/>
      <c r="L797" s="9" t="n"/>
    </row>
    <row r="798">
      <c r="A798" s="15" t="n"/>
      <c r="B798" s="9" t="n"/>
      <c r="C798" s="9" t="n"/>
      <c r="D798" s="17" t="n"/>
      <c r="E798" s="17" t="n"/>
      <c r="F798" s="10">
        <f>IF(OR($D798="",$E798=""),"",ROUND(MOD($E798-$D798,1)*24,2))</f>
        <v/>
      </c>
      <c r="G798" s="9" t="n"/>
      <c r="H798" s="10" t="n"/>
      <c r="I798" s="10">
        <f>IF($G798="Approved",IF($H798="",IF($F798="",0,$F798),$H798),0)</f>
        <v/>
      </c>
      <c r="J798" s="9" t="n"/>
      <c r="K798" s="9" t="n"/>
      <c r="L798" s="9" t="n"/>
    </row>
    <row r="799">
      <c r="A799" s="15" t="n"/>
      <c r="B799" s="9" t="n"/>
      <c r="C799" s="9" t="n"/>
      <c r="D799" s="17" t="n"/>
      <c r="E799" s="17" t="n"/>
      <c r="F799" s="10">
        <f>IF(OR($D799="",$E799=""),"",ROUND(MOD($E799-$D799,1)*24,2))</f>
        <v/>
      </c>
      <c r="G799" s="9" t="n"/>
      <c r="H799" s="10" t="n"/>
      <c r="I799" s="10">
        <f>IF($G799="Approved",IF($H799="",IF($F799="",0,$F799),$H799),0)</f>
        <v/>
      </c>
      <c r="J799" s="9" t="n"/>
      <c r="K799" s="9" t="n"/>
      <c r="L799" s="9" t="n"/>
    </row>
    <row r="800">
      <c r="A800" s="15" t="n"/>
      <c r="B800" s="9" t="n"/>
      <c r="C800" s="9" t="n"/>
      <c r="D800" s="17" t="n"/>
      <c r="E800" s="17" t="n"/>
      <c r="F800" s="10">
        <f>IF(OR($D800="",$E800=""),"",ROUND(MOD($E800-$D800,1)*24,2))</f>
        <v/>
      </c>
      <c r="G800" s="9" t="n"/>
      <c r="H800" s="10" t="n"/>
      <c r="I800" s="10">
        <f>IF($G800="Approved",IF($H800="",IF($F800="",0,$F800),$H800),0)</f>
        <v/>
      </c>
      <c r="J800" s="9" t="n"/>
      <c r="K800" s="9" t="n"/>
      <c r="L800" s="9" t="n"/>
    </row>
    <row r="801">
      <c r="A801" s="15" t="n"/>
      <c r="B801" s="9" t="n"/>
      <c r="C801" s="9" t="n"/>
      <c r="D801" s="17" t="n"/>
      <c r="E801" s="17" t="n"/>
      <c r="F801" s="10">
        <f>IF(OR($D801="",$E801=""),"",ROUND(MOD($E801-$D801,1)*24,2))</f>
        <v/>
      </c>
      <c r="G801" s="9" t="n"/>
      <c r="H801" s="10" t="n"/>
      <c r="I801" s="10">
        <f>IF($G801="Approved",IF($H801="",IF($F801="",0,$F801),$H801),0)</f>
        <v/>
      </c>
      <c r="J801" s="9" t="n"/>
      <c r="K801" s="9" t="n"/>
      <c r="L801" s="9" t="n"/>
    </row>
    <row r="802">
      <c r="A802" s="15" t="n"/>
      <c r="B802" s="9" t="n"/>
      <c r="C802" s="9" t="n"/>
      <c r="D802" s="17" t="n"/>
      <c r="E802" s="17" t="n"/>
      <c r="F802" s="10">
        <f>IF(OR($D802="",$E802=""),"",ROUND(MOD($E802-$D802,1)*24,2))</f>
        <v/>
      </c>
      <c r="G802" s="9" t="n"/>
      <c r="H802" s="10" t="n"/>
      <c r="I802" s="10">
        <f>IF($G802="Approved",IF($H802="",IF($F802="",0,$F802),$H802),0)</f>
        <v/>
      </c>
      <c r="J802" s="9" t="n"/>
      <c r="K802" s="9" t="n"/>
      <c r="L802" s="9" t="n"/>
    </row>
    <row r="803">
      <c r="A803" s="15" t="n"/>
      <c r="B803" s="9" t="n"/>
      <c r="C803" s="9" t="n"/>
      <c r="D803" s="17" t="n"/>
      <c r="E803" s="17" t="n"/>
      <c r="F803" s="10">
        <f>IF(OR($D803="",$E803=""),"",ROUND(MOD($E803-$D803,1)*24,2))</f>
        <v/>
      </c>
      <c r="G803" s="9" t="n"/>
      <c r="H803" s="10" t="n"/>
      <c r="I803" s="10">
        <f>IF($G803="Approved",IF($H803="",IF($F803="",0,$F803),$H803),0)</f>
        <v/>
      </c>
      <c r="J803" s="9" t="n"/>
      <c r="K803" s="9" t="n"/>
      <c r="L803" s="9" t="n"/>
    </row>
    <row r="804">
      <c r="A804" s="15" t="n"/>
      <c r="B804" s="9" t="n"/>
      <c r="C804" s="9" t="n"/>
      <c r="D804" s="17" t="n"/>
      <c r="E804" s="17" t="n"/>
      <c r="F804" s="10">
        <f>IF(OR($D804="",$E804=""),"",ROUND(MOD($E804-$D804,1)*24,2))</f>
        <v/>
      </c>
      <c r="G804" s="9" t="n"/>
      <c r="H804" s="10" t="n"/>
      <c r="I804" s="10">
        <f>IF($G804="Approved",IF($H804="",IF($F804="",0,$F804),$H804),0)</f>
        <v/>
      </c>
      <c r="J804" s="9" t="n"/>
      <c r="K804" s="9" t="n"/>
      <c r="L804" s="9" t="n"/>
    </row>
    <row r="805">
      <c r="A805" s="15" t="n"/>
      <c r="B805" s="9" t="n"/>
      <c r="C805" s="9" t="n"/>
      <c r="D805" s="17" t="n"/>
      <c r="E805" s="17" t="n"/>
      <c r="F805" s="10">
        <f>IF(OR($D805="",$E805=""),"",ROUND(MOD($E805-$D805,1)*24,2))</f>
        <v/>
      </c>
      <c r="G805" s="9" t="n"/>
      <c r="H805" s="10" t="n"/>
      <c r="I805" s="10">
        <f>IF($G805="Approved",IF($H805="",IF($F805="",0,$F805),$H805),0)</f>
        <v/>
      </c>
      <c r="J805" s="9" t="n"/>
      <c r="K805" s="9" t="n"/>
      <c r="L805" s="9" t="n"/>
    </row>
    <row r="806">
      <c r="A806" s="15" t="n"/>
      <c r="B806" s="9" t="n"/>
      <c r="C806" s="9" t="n"/>
      <c r="D806" s="17" t="n"/>
      <c r="E806" s="17" t="n"/>
      <c r="F806" s="10">
        <f>IF(OR($D806="",$E806=""),"",ROUND(MOD($E806-$D806,1)*24,2))</f>
        <v/>
      </c>
      <c r="G806" s="9" t="n"/>
      <c r="H806" s="10" t="n"/>
      <c r="I806" s="10">
        <f>IF($G806="Approved",IF($H806="",IF($F806="",0,$F806),$H806),0)</f>
        <v/>
      </c>
      <c r="J806" s="9" t="n"/>
      <c r="K806" s="9" t="n"/>
      <c r="L806" s="9" t="n"/>
    </row>
    <row r="807">
      <c r="A807" s="15" t="n"/>
      <c r="B807" s="9" t="n"/>
      <c r="C807" s="9" t="n"/>
      <c r="D807" s="17" t="n"/>
      <c r="E807" s="17" t="n"/>
      <c r="F807" s="10">
        <f>IF(OR($D807="",$E807=""),"",ROUND(MOD($E807-$D807,1)*24,2))</f>
        <v/>
      </c>
      <c r="G807" s="9" t="n"/>
      <c r="H807" s="10" t="n"/>
      <c r="I807" s="10">
        <f>IF($G807="Approved",IF($H807="",IF($F807="",0,$F807),$H807),0)</f>
        <v/>
      </c>
      <c r="J807" s="9" t="n"/>
      <c r="K807" s="9" t="n"/>
      <c r="L807" s="9" t="n"/>
    </row>
    <row r="808">
      <c r="A808" s="15" t="n"/>
      <c r="B808" s="9" t="n"/>
      <c r="C808" s="9" t="n"/>
      <c r="D808" s="17" t="n"/>
      <c r="E808" s="17" t="n"/>
      <c r="F808" s="10">
        <f>IF(OR($D808="",$E808=""),"",ROUND(MOD($E808-$D808,1)*24,2))</f>
        <v/>
      </c>
      <c r="G808" s="9" t="n"/>
      <c r="H808" s="10" t="n"/>
      <c r="I808" s="10">
        <f>IF($G808="Approved",IF($H808="",IF($F808="",0,$F808),$H808),0)</f>
        <v/>
      </c>
      <c r="J808" s="9" t="n"/>
      <c r="K808" s="9" t="n"/>
      <c r="L808" s="9" t="n"/>
    </row>
    <row r="809">
      <c r="A809" s="15" t="n"/>
      <c r="B809" s="9" t="n"/>
      <c r="C809" s="9" t="n"/>
      <c r="D809" s="17" t="n"/>
      <c r="E809" s="17" t="n"/>
      <c r="F809" s="10">
        <f>IF(OR($D809="",$E809=""),"",ROUND(MOD($E809-$D809,1)*24,2))</f>
        <v/>
      </c>
      <c r="G809" s="9" t="n"/>
      <c r="H809" s="10" t="n"/>
      <c r="I809" s="10">
        <f>IF($G809="Approved",IF($H809="",IF($F809="",0,$F809),$H809),0)</f>
        <v/>
      </c>
      <c r="J809" s="9" t="n"/>
      <c r="K809" s="9" t="n"/>
      <c r="L809" s="9" t="n"/>
    </row>
    <row r="810">
      <c r="A810" s="15" t="n"/>
      <c r="B810" s="9" t="n"/>
      <c r="C810" s="9" t="n"/>
      <c r="D810" s="17" t="n"/>
      <c r="E810" s="17" t="n"/>
      <c r="F810" s="10">
        <f>IF(OR($D810="",$E810=""),"",ROUND(MOD($E810-$D810,1)*24,2))</f>
        <v/>
      </c>
      <c r="G810" s="9" t="n"/>
      <c r="H810" s="10" t="n"/>
      <c r="I810" s="10">
        <f>IF($G810="Approved",IF($H810="",IF($F810="",0,$F810),$H810),0)</f>
        <v/>
      </c>
      <c r="J810" s="9" t="n"/>
      <c r="K810" s="9" t="n"/>
      <c r="L810" s="9" t="n"/>
    </row>
    <row r="811">
      <c r="A811" s="15" t="n"/>
      <c r="B811" s="9" t="n"/>
      <c r="C811" s="9" t="n"/>
      <c r="D811" s="17" t="n"/>
      <c r="E811" s="17" t="n"/>
      <c r="F811" s="10">
        <f>IF(OR($D811="",$E811=""),"",ROUND(MOD($E811-$D811,1)*24,2))</f>
        <v/>
      </c>
      <c r="G811" s="9" t="n"/>
      <c r="H811" s="10" t="n"/>
      <c r="I811" s="10">
        <f>IF($G811="Approved",IF($H811="",IF($F811="",0,$F811),$H811),0)</f>
        <v/>
      </c>
      <c r="J811" s="9" t="n"/>
      <c r="K811" s="9" t="n"/>
      <c r="L811" s="9" t="n"/>
    </row>
    <row r="812">
      <c r="A812" s="15" t="n"/>
      <c r="B812" s="9" t="n"/>
      <c r="C812" s="9" t="n"/>
      <c r="D812" s="17" t="n"/>
      <c r="E812" s="17" t="n"/>
      <c r="F812" s="10">
        <f>IF(OR($D812="",$E812=""),"",ROUND(MOD($E812-$D812,1)*24,2))</f>
        <v/>
      </c>
      <c r="G812" s="9" t="n"/>
      <c r="H812" s="10" t="n"/>
      <c r="I812" s="10">
        <f>IF($G812="Approved",IF($H812="",IF($F812="",0,$F812),$H812),0)</f>
        <v/>
      </c>
      <c r="J812" s="9" t="n"/>
      <c r="K812" s="9" t="n"/>
      <c r="L812" s="9" t="n"/>
    </row>
    <row r="813">
      <c r="A813" s="15" t="n"/>
      <c r="B813" s="9" t="n"/>
      <c r="C813" s="9" t="n"/>
      <c r="D813" s="17" t="n"/>
      <c r="E813" s="17" t="n"/>
      <c r="F813" s="10">
        <f>IF(OR($D813="",$E813=""),"",ROUND(MOD($E813-$D813,1)*24,2))</f>
        <v/>
      </c>
      <c r="G813" s="9" t="n"/>
      <c r="H813" s="10" t="n"/>
      <c r="I813" s="10">
        <f>IF($G813="Approved",IF($H813="",IF($F813="",0,$F813),$H813),0)</f>
        <v/>
      </c>
      <c r="J813" s="9" t="n"/>
      <c r="K813" s="9" t="n"/>
      <c r="L813" s="9" t="n"/>
    </row>
    <row r="814">
      <c r="A814" s="15" t="n"/>
      <c r="B814" s="9" t="n"/>
      <c r="C814" s="9" t="n"/>
      <c r="D814" s="17" t="n"/>
      <c r="E814" s="17" t="n"/>
      <c r="F814" s="10">
        <f>IF(OR($D814="",$E814=""),"",ROUND(MOD($E814-$D814,1)*24,2))</f>
        <v/>
      </c>
      <c r="G814" s="9" t="n"/>
      <c r="H814" s="10" t="n"/>
      <c r="I814" s="10">
        <f>IF($G814="Approved",IF($H814="",IF($F814="",0,$F814),$H814),0)</f>
        <v/>
      </c>
      <c r="J814" s="9" t="n"/>
      <c r="K814" s="9" t="n"/>
      <c r="L814" s="9" t="n"/>
    </row>
    <row r="815">
      <c r="A815" s="15" t="n"/>
      <c r="B815" s="9" t="n"/>
      <c r="C815" s="9" t="n"/>
      <c r="D815" s="17" t="n"/>
      <c r="E815" s="17" t="n"/>
      <c r="F815" s="10">
        <f>IF(OR($D815="",$E815=""),"",ROUND(MOD($E815-$D815,1)*24,2))</f>
        <v/>
      </c>
      <c r="G815" s="9" t="n"/>
      <c r="H815" s="10" t="n"/>
      <c r="I815" s="10">
        <f>IF($G815="Approved",IF($H815="",IF($F815="",0,$F815),$H815),0)</f>
        <v/>
      </c>
      <c r="J815" s="9" t="n"/>
      <c r="K815" s="9" t="n"/>
      <c r="L815" s="9" t="n"/>
    </row>
    <row r="816">
      <c r="A816" s="15" t="n"/>
      <c r="B816" s="9" t="n"/>
      <c r="C816" s="9" t="n"/>
      <c r="D816" s="17" t="n"/>
      <c r="E816" s="17" t="n"/>
      <c r="F816" s="10">
        <f>IF(OR($D816="",$E816=""),"",ROUND(MOD($E816-$D816,1)*24,2))</f>
        <v/>
      </c>
      <c r="G816" s="9" t="n"/>
      <c r="H816" s="10" t="n"/>
      <c r="I816" s="10">
        <f>IF($G816="Approved",IF($H816="",IF($F816="",0,$F816),$H816),0)</f>
        <v/>
      </c>
      <c r="J816" s="9" t="n"/>
      <c r="K816" s="9" t="n"/>
      <c r="L816" s="9" t="n"/>
    </row>
    <row r="817">
      <c r="A817" s="15" t="n"/>
      <c r="B817" s="9" t="n"/>
      <c r="C817" s="9" t="n"/>
      <c r="D817" s="17" t="n"/>
      <c r="E817" s="17" t="n"/>
      <c r="F817" s="10">
        <f>IF(OR($D817="",$E817=""),"",ROUND(MOD($E817-$D817,1)*24,2))</f>
        <v/>
      </c>
      <c r="G817" s="9" t="n"/>
      <c r="H817" s="10" t="n"/>
      <c r="I817" s="10">
        <f>IF($G817="Approved",IF($H817="",IF($F817="",0,$F817),$H817),0)</f>
        <v/>
      </c>
      <c r="J817" s="9" t="n"/>
      <c r="K817" s="9" t="n"/>
      <c r="L817" s="9" t="n"/>
    </row>
    <row r="818">
      <c r="A818" s="15" t="n"/>
      <c r="B818" s="9" t="n"/>
      <c r="C818" s="9" t="n"/>
      <c r="D818" s="17" t="n"/>
      <c r="E818" s="17" t="n"/>
      <c r="F818" s="10">
        <f>IF(OR($D818="",$E818=""),"",ROUND(MOD($E818-$D818,1)*24,2))</f>
        <v/>
      </c>
      <c r="G818" s="9" t="n"/>
      <c r="H818" s="10" t="n"/>
      <c r="I818" s="10">
        <f>IF($G818="Approved",IF($H818="",IF($F818="",0,$F818),$H818),0)</f>
        <v/>
      </c>
      <c r="J818" s="9" t="n"/>
      <c r="K818" s="9" t="n"/>
      <c r="L818" s="9" t="n"/>
    </row>
    <row r="819">
      <c r="A819" s="15" t="n"/>
      <c r="B819" s="9" t="n"/>
      <c r="C819" s="9" t="n"/>
      <c r="D819" s="17" t="n"/>
      <c r="E819" s="17" t="n"/>
      <c r="F819" s="10">
        <f>IF(OR($D819="",$E819=""),"",ROUND(MOD($E819-$D819,1)*24,2))</f>
        <v/>
      </c>
      <c r="G819" s="9" t="n"/>
      <c r="H819" s="10" t="n"/>
      <c r="I819" s="10">
        <f>IF($G819="Approved",IF($H819="",IF($F819="",0,$F819),$H819),0)</f>
        <v/>
      </c>
      <c r="J819" s="9" t="n"/>
      <c r="K819" s="9" t="n"/>
      <c r="L819" s="9" t="n"/>
    </row>
    <row r="820">
      <c r="A820" s="15" t="n"/>
      <c r="B820" s="9" t="n"/>
      <c r="C820" s="9" t="n"/>
      <c r="D820" s="17" t="n"/>
      <c r="E820" s="17" t="n"/>
      <c r="F820" s="10">
        <f>IF(OR($D820="",$E820=""),"",ROUND(MOD($E820-$D820,1)*24,2))</f>
        <v/>
      </c>
      <c r="G820" s="9" t="n"/>
      <c r="H820" s="10" t="n"/>
      <c r="I820" s="10">
        <f>IF($G820="Approved",IF($H820="",IF($F820="",0,$F820),$H820),0)</f>
        <v/>
      </c>
      <c r="J820" s="9" t="n"/>
      <c r="K820" s="9" t="n"/>
      <c r="L820" s="9" t="n"/>
    </row>
    <row r="821">
      <c r="A821" s="15" t="n"/>
      <c r="B821" s="9" t="n"/>
      <c r="C821" s="9" t="n"/>
      <c r="D821" s="17" t="n"/>
      <c r="E821" s="17" t="n"/>
      <c r="F821" s="10">
        <f>IF(OR($D821="",$E821=""),"",ROUND(MOD($E821-$D821,1)*24,2))</f>
        <v/>
      </c>
      <c r="G821" s="9" t="n"/>
      <c r="H821" s="10" t="n"/>
      <c r="I821" s="10">
        <f>IF($G821="Approved",IF($H821="",IF($F821="",0,$F821),$H821),0)</f>
        <v/>
      </c>
      <c r="J821" s="9" t="n"/>
      <c r="K821" s="9" t="n"/>
      <c r="L821" s="9" t="n"/>
    </row>
    <row r="822">
      <c r="A822" s="15" t="n"/>
      <c r="B822" s="9" t="n"/>
      <c r="C822" s="9" t="n"/>
      <c r="D822" s="17" t="n"/>
      <c r="E822" s="17" t="n"/>
      <c r="F822" s="10">
        <f>IF(OR($D822="",$E822=""),"",ROUND(MOD($E822-$D822,1)*24,2))</f>
        <v/>
      </c>
      <c r="G822" s="9" t="n"/>
      <c r="H822" s="10" t="n"/>
      <c r="I822" s="10">
        <f>IF($G822="Approved",IF($H822="",IF($F822="",0,$F822),$H822),0)</f>
        <v/>
      </c>
      <c r="J822" s="9" t="n"/>
      <c r="K822" s="9" t="n"/>
      <c r="L822" s="9" t="n"/>
    </row>
    <row r="823">
      <c r="A823" s="15" t="n"/>
      <c r="B823" s="9" t="n"/>
      <c r="C823" s="9" t="n"/>
      <c r="D823" s="17" t="n"/>
      <c r="E823" s="17" t="n"/>
      <c r="F823" s="10">
        <f>IF(OR($D823="",$E823=""),"",ROUND(MOD($E823-$D823,1)*24,2))</f>
        <v/>
      </c>
      <c r="G823" s="9" t="n"/>
      <c r="H823" s="10" t="n"/>
      <c r="I823" s="10">
        <f>IF($G823="Approved",IF($H823="",IF($F823="",0,$F823),$H823),0)</f>
        <v/>
      </c>
      <c r="J823" s="9" t="n"/>
      <c r="K823" s="9" t="n"/>
      <c r="L823" s="9" t="n"/>
    </row>
    <row r="824">
      <c r="A824" s="15" t="n"/>
      <c r="B824" s="9" t="n"/>
      <c r="C824" s="9" t="n"/>
      <c r="D824" s="17" t="n"/>
      <c r="E824" s="17" t="n"/>
      <c r="F824" s="10">
        <f>IF(OR($D824="",$E824=""),"",ROUND(MOD($E824-$D824,1)*24,2))</f>
        <v/>
      </c>
      <c r="G824" s="9" t="n"/>
      <c r="H824" s="10" t="n"/>
      <c r="I824" s="10">
        <f>IF($G824="Approved",IF($H824="",IF($F824="",0,$F824),$H824),0)</f>
        <v/>
      </c>
      <c r="J824" s="9" t="n"/>
      <c r="K824" s="9" t="n"/>
      <c r="L824" s="9" t="n"/>
    </row>
    <row r="825">
      <c r="A825" s="15" t="n"/>
      <c r="B825" s="9" t="n"/>
      <c r="C825" s="9" t="n"/>
      <c r="D825" s="17" t="n"/>
      <c r="E825" s="17" t="n"/>
      <c r="F825" s="10">
        <f>IF(OR($D825="",$E825=""),"",ROUND(MOD($E825-$D825,1)*24,2))</f>
        <v/>
      </c>
      <c r="G825" s="9" t="n"/>
      <c r="H825" s="10" t="n"/>
      <c r="I825" s="10">
        <f>IF($G825="Approved",IF($H825="",IF($F825="",0,$F825),$H825),0)</f>
        <v/>
      </c>
      <c r="J825" s="9" t="n"/>
      <c r="K825" s="9" t="n"/>
      <c r="L825" s="9" t="n"/>
    </row>
    <row r="826">
      <c r="A826" s="15" t="n"/>
      <c r="B826" s="9" t="n"/>
      <c r="C826" s="9" t="n"/>
      <c r="D826" s="17" t="n"/>
      <c r="E826" s="17" t="n"/>
      <c r="F826" s="10">
        <f>IF(OR($D826="",$E826=""),"",ROUND(MOD($E826-$D826,1)*24,2))</f>
        <v/>
      </c>
      <c r="G826" s="9" t="n"/>
      <c r="H826" s="10" t="n"/>
      <c r="I826" s="10">
        <f>IF($G826="Approved",IF($H826="",IF($F826="",0,$F826),$H826),0)</f>
        <v/>
      </c>
      <c r="J826" s="9" t="n"/>
      <c r="K826" s="9" t="n"/>
      <c r="L826" s="9" t="n"/>
    </row>
    <row r="827">
      <c r="A827" s="15" t="n"/>
      <c r="B827" s="9" t="n"/>
      <c r="C827" s="9" t="n"/>
      <c r="D827" s="17" t="n"/>
      <c r="E827" s="17" t="n"/>
      <c r="F827" s="10">
        <f>IF(OR($D827="",$E827=""),"",ROUND(MOD($E827-$D827,1)*24,2))</f>
        <v/>
      </c>
      <c r="G827" s="9" t="n"/>
      <c r="H827" s="10" t="n"/>
      <c r="I827" s="10">
        <f>IF($G827="Approved",IF($H827="",IF($F827="",0,$F827),$H827),0)</f>
        <v/>
      </c>
      <c r="J827" s="9" t="n"/>
      <c r="K827" s="9" t="n"/>
      <c r="L827" s="9" t="n"/>
    </row>
    <row r="828">
      <c r="A828" s="15" t="n"/>
      <c r="B828" s="9" t="n"/>
      <c r="C828" s="9" t="n"/>
      <c r="D828" s="17" t="n"/>
      <c r="E828" s="17" t="n"/>
      <c r="F828" s="10">
        <f>IF(OR($D828="",$E828=""),"",ROUND(MOD($E828-$D828,1)*24,2))</f>
        <v/>
      </c>
      <c r="G828" s="9" t="n"/>
      <c r="H828" s="10" t="n"/>
      <c r="I828" s="10">
        <f>IF($G828="Approved",IF($H828="",IF($F828="",0,$F828),$H828),0)</f>
        <v/>
      </c>
      <c r="J828" s="9" t="n"/>
      <c r="K828" s="9" t="n"/>
      <c r="L828" s="9" t="n"/>
    </row>
    <row r="829">
      <c r="A829" s="15" t="n"/>
      <c r="B829" s="9" t="n"/>
      <c r="C829" s="9" t="n"/>
      <c r="D829" s="17" t="n"/>
      <c r="E829" s="17" t="n"/>
      <c r="F829" s="10">
        <f>IF(OR($D829="",$E829=""),"",ROUND(MOD($E829-$D829,1)*24,2))</f>
        <v/>
      </c>
      <c r="G829" s="9" t="n"/>
      <c r="H829" s="10" t="n"/>
      <c r="I829" s="10">
        <f>IF($G829="Approved",IF($H829="",IF($F829="",0,$F829),$H829),0)</f>
        <v/>
      </c>
      <c r="J829" s="9" t="n"/>
      <c r="K829" s="9" t="n"/>
      <c r="L829" s="9" t="n"/>
    </row>
    <row r="830">
      <c r="A830" s="15" t="n"/>
      <c r="B830" s="9" t="n"/>
      <c r="C830" s="9" t="n"/>
      <c r="D830" s="17" t="n"/>
      <c r="E830" s="17" t="n"/>
      <c r="F830" s="10">
        <f>IF(OR($D830="",$E830=""),"",ROUND(MOD($E830-$D830,1)*24,2))</f>
        <v/>
      </c>
      <c r="G830" s="9" t="n"/>
      <c r="H830" s="10" t="n"/>
      <c r="I830" s="10">
        <f>IF($G830="Approved",IF($H830="",IF($F830="",0,$F830),$H830),0)</f>
        <v/>
      </c>
      <c r="J830" s="9" t="n"/>
      <c r="K830" s="9" t="n"/>
      <c r="L830" s="9" t="n"/>
    </row>
    <row r="831">
      <c r="A831" s="15" t="n"/>
      <c r="B831" s="9" t="n"/>
      <c r="C831" s="9" t="n"/>
      <c r="D831" s="17" t="n"/>
      <c r="E831" s="17" t="n"/>
      <c r="F831" s="10">
        <f>IF(OR($D831="",$E831=""),"",ROUND(MOD($E831-$D831,1)*24,2))</f>
        <v/>
      </c>
      <c r="G831" s="9" t="n"/>
      <c r="H831" s="10" t="n"/>
      <c r="I831" s="10">
        <f>IF($G831="Approved",IF($H831="",IF($F831="",0,$F831),$H831),0)</f>
        <v/>
      </c>
      <c r="J831" s="9" t="n"/>
      <c r="K831" s="9" t="n"/>
      <c r="L831" s="9" t="n"/>
    </row>
    <row r="832">
      <c r="A832" s="15" t="n"/>
      <c r="B832" s="9" t="n"/>
      <c r="C832" s="9" t="n"/>
      <c r="D832" s="17" t="n"/>
      <c r="E832" s="17" t="n"/>
      <c r="F832" s="10">
        <f>IF(OR($D832="",$E832=""),"",ROUND(MOD($E832-$D832,1)*24,2))</f>
        <v/>
      </c>
      <c r="G832" s="9" t="n"/>
      <c r="H832" s="10" t="n"/>
      <c r="I832" s="10">
        <f>IF($G832="Approved",IF($H832="",IF($F832="",0,$F832),$H832),0)</f>
        <v/>
      </c>
      <c r="J832" s="9" t="n"/>
      <c r="K832" s="9" t="n"/>
      <c r="L832" s="9" t="n"/>
    </row>
    <row r="833">
      <c r="A833" s="15" t="n"/>
      <c r="B833" s="9" t="n"/>
      <c r="C833" s="9" t="n"/>
      <c r="D833" s="17" t="n"/>
      <c r="E833" s="17" t="n"/>
      <c r="F833" s="10">
        <f>IF(OR($D833="",$E833=""),"",ROUND(MOD($E833-$D833,1)*24,2))</f>
        <v/>
      </c>
      <c r="G833" s="9" t="n"/>
      <c r="H833" s="10" t="n"/>
      <c r="I833" s="10">
        <f>IF($G833="Approved",IF($H833="",IF($F833="",0,$F833),$H833),0)</f>
        <v/>
      </c>
      <c r="J833" s="9" t="n"/>
      <c r="K833" s="9" t="n"/>
      <c r="L833" s="9" t="n"/>
    </row>
    <row r="834">
      <c r="A834" s="15" t="n"/>
      <c r="B834" s="9" t="n"/>
      <c r="C834" s="9" t="n"/>
      <c r="D834" s="17" t="n"/>
      <c r="E834" s="17" t="n"/>
      <c r="F834" s="10">
        <f>IF(OR($D834="",$E834=""),"",ROUND(MOD($E834-$D834,1)*24,2))</f>
        <v/>
      </c>
      <c r="G834" s="9" t="n"/>
      <c r="H834" s="10" t="n"/>
      <c r="I834" s="10">
        <f>IF($G834="Approved",IF($H834="",IF($F834="",0,$F834),$H834),0)</f>
        <v/>
      </c>
      <c r="J834" s="9" t="n"/>
      <c r="K834" s="9" t="n"/>
      <c r="L834" s="9" t="n"/>
    </row>
    <row r="835">
      <c r="A835" s="15" t="n"/>
      <c r="B835" s="9" t="n"/>
      <c r="C835" s="9" t="n"/>
      <c r="D835" s="17" t="n"/>
      <c r="E835" s="17" t="n"/>
      <c r="F835" s="10">
        <f>IF(OR($D835="",$E835=""),"",ROUND(MOD($E835-$D835,1)*24,2))</f>
        <v/>
      </c>
      <c r="G835" s="9" t="n"/>
      <c r="H835" s="10" t="n"/>
      <c r="I835" s="10">
        <f>IF($G835="Approved",IF($H835="",IF($F835="",0,$F835),$H835),0)</f>
        <v/>
      </c>
      <c r="J835" s="9" t="n"/>
      <c r="K835" s="9" t="n"/>
      <c r="L835" s="9" t="n"/>
    </row>
    <row r="836">
      <c r="A836" s="15" t="n"/>
      <c r="B836" s="9" t="n"/>
      <c r="C836" s="9" t="n"/>
      <c r="D836" s="17" t="n"/>
      <c r="E836" s="17" t="n"/>
      <c r="F836" s="10">
        <f>IF(OR($D836="",$E836=""),"",ROUND(MOD($E836-$D836,1)*24,2))</f>
        <v/>
      </c>
      <c r="G836" s="9" t="n"/>
      <c r="H836" s="10" t="n"/>
      <c r="I836" s="10">
        <f>IF($G836="Approved",IF($H836="",IF($F836="",0,$F836),$H836),0)</f>
        <v/>
      </c>
      <c r="J836" s="9" t="n"/>
      <c r="K836" s="9" t="n"/>
      <c r="L836" s="9" t="n"/>
    </row>
    <row r="837">
      <c r="A837" s="15" t="n"/>
      <c r="B837" s="9" t="n"/>
      <c r="C837" s="9" t="n"/>
      <c r="D837" s="17" t="n"/>
      <c r="E837" s="17" t="n"/>
      <c r="F837" s="10">
        <f>IF(OR($D837="",$E837=""),"",ROUND(MOD($E837-$D837,1)*24,2))</f>
        <v/>
      </c>
      <c r="G837" s="9" t="n"/>
      <c r="H837" s="10" t="n"/>
      <c r="I837" s="10">
        <f>IF($G837="Approved",IF($H837="",IF($F837="",0,$F837),$H837),0)</f>
        <v/>
      </c>
      <c r="J837" s="9" t="n"/>
      <c r="K837" s="9" t="n"/>
      <c r="L837" s="9" t="n"/>
    </row>
    <row r="838">
      <c r="A838" s="15" t="n"/>
      <c r="B838" s="9" t="n"/>
      <c r="C838" s="9" t="n"/>
      <c r="D838" s="17" t="n"/>
      <c r="E838" s="17" t="n"/>
      <c r="F838" s="10">
        <f>IF(OR($D838="",$E838=""),"",ROUND(MOD($E838-$D838,1)*24,2))</f>
        <v/>
      </c>
      <c r="G838" s="9" t="n"/>
      <c r="H838" s="10" t="n"/>
      <c r="I838" s="10">
        <f>IF($G838="Approved",IF($H838="",IF($F838="",0,$F838),$H838),0)</f>
        <v/>
      </c>
      <c r="J838" s="9" t="n"/>
      <c r="K838" s="9" t="n"/>
      <c r="L838" s="9" t="n"/>
    </row>
    <row r="839">
      <c r="A839" s="15" t="n"/>
      <c r="B839" s="9" t="n"/>
      <c r="C839" s="9" t="n"/>
      <c r="D839" s="17" t="n"/>
      <c r="E839" s="17" t="n"/>
      <c r="F839" s="10">
        <f>IF(OR($D839="",$E839=""),"",ROUND(MOD($E839-$D839,1)*24,2))</f>
        <v/>
      </c>
      <c r="G839" s="9" t="n"/>
      <c r="H839" s="10" t="n"/>
      <c r="I839" s="10">
        <f>IF($G839="Approved",IF($H839="",IF($F839="",0,$F839),$H839),0)</f>
        <v/>
      </c>
      <c r="J839" s="9" t="n"/>
      <c r="K839" s="9" t="n"/>
      <c r="L839" s="9" t="n"/>
    </row>
    <row r="840">
      <c r="A840" s="15" t="n"/>
      <c r="B840" s="9" t="n"/>
      <c r="C840" s="9" t="n"/>
      <c r="D840" s="17" t="n"/>
      <c r="E840" s="17" t="n"/>
      <c r="F840" s="10">
        <f>IF(OR($D840="",$E840=""),"",ROUND(MOD($E840-$D840,1)*24,2))</f>
        <v/>
      </c>
      <c r="G840" s="9" t="n"/>
      <c r="H840" s="10" t="n"/>
      <c r="I840" s="10">
        <f>IF($G840="Approved",IF($H840="",IF($F840="",0,$F840),$H840),0)</f>
        <v/>
      </c>
      <c r="J840" s="9" t="n"/>
      <c r="K840" s="9" t="n"/>
      <c r="L840" s="9" t="n"/>
    </row>
    <row r="841">
      <c r="A841" s="15" t="n"/>
      <c r="B841" s="9" t="n"/>
      <c r="C841" s="9" t="n"/>
      <c r="D841" s="17" t="n"/>
      <c r="E841" s="17" t="n"/>
      <c r="F841" s="10">
        <f>IF(OR($D841="",$E841=""),"",ROUND(MOD($E841-$D841,1)*24,2))</f>
        <v/>
      </c>
      <c r="G841" s="9" t="n"/>
      <c r="H841" s="10" t="n"/>
      <c r="I841" s="10">
        <f>IF($G841="Approved",IF($H841="",IF($F841="",0,$F841),$H841),0)</f>
        <v/>
      </c>
      <c r="J841" s="9" t="n"/>
      <c r="K841" s="9" t="n"/>
      <c r="L841" s="9" t="n"/>
    </row>
    <row r="842">
      <c r="A842" s="15" t="n"/>
      <c r="B842" s="9" t="n"/>
      <c r="C842" s="9" t="n"/>
      <c r="D842" s="17" t="n"/>
      <c r="E842" s="17" t="n"/>
      <c r="F842" s="10">
        <f>IF(OR($D842="",$E842=""),"",ROUND(MOD($E842-$D842,1)*24,2))</f>
        <v/>
      </c>
      <c r="G842" s="9" t="n"/>
      <c r="H842" s="10" t="n"/>
      <c r="I842" s="10">
        <f>IF($G842="Approved",IF($H842="",IF($F842="",0,$F842),$H842),0)</f>
        <v/>
      </c>
      <c r="J842" s="9" t="n"/>
      <c r="K842" s="9" t="n"/>
      <c r="L842" s="9" t="n"/>
    </row>
    <row r="843">
      <c r="A843" s="15" t="n"/>
      <c r="B843" s="9" t="n"/>
      <c r="C843" s="9" t="n"/>
      <c r="D843" s="17" t="n"/>
      <c r="E843" s="17" t="n"/>
      <c r="F843" s="10">
        <f>IF(OR($D843="",$E843=""),"",ROUND(MOD($E843-$D843,1)*24,2))</f>
        <v/>
      </c>
      <c r="G843" s="9" t="n"/>
      <c r="H843" s="10" t="n"/>
      <c r="I843" s="10">
        <f>IF($G843="Approved",IF($H843="",IF($F843="",0,$F843),$H843),0)</f>
        <v/>
      </c>
      <c r="J843" s="9" t="n"/>
      <c r="K843" s="9" t="n"/>
      <c r="L843" s="9" t="n"/>
    </row>
    <row r="844">
      <c r="A844" s="15" t="n"/>
      <c r="B844" s="9" t="n"/>
      <c r="C844" s="9" t="n"/>
      <c r="D844" s="17" t="n"/>
      <c r="E844" s="17" t="n"/>
      <c r="F844" s="10">
        <f>IF(OR($D844="",$E844=""),"",ROUND(MOD($E844-$D844,1)*24,2))</f>
        <v/>
      </c>
      <c r="G844" s="9" t="n"/>
      <c r="H844" s="10" t="n"/>
      <c r="I844" s="10">
        <f>IF($G844="Approved",IF($H844="",IF($F844="",0,$F844),$H844),0)</f>
        <v/>
      </c>
      <c r="J844" s="9" t="n"/>
      <c r="K844" s="9" t="n"/>
      <c r="L844" s="9" t="n"/>
    </row>
    <row r="845">
      <c r="A845" s="15" t="n"/>
      <c r="B845" s="9" t="n"/>
      <c r="C845" s="9" t="n"/>
      <c r="D845" s="17" t="n"/>
      <c r="E845" s="17" t="n"/>
      <c r="F845" s="10">
        <f>IF(OR($D845="",$E845=""),"",ROUND(MOD($E845-$D845,1)*24,2))</f>
        <v/>
      </c>
      <c r="G845" s="9" t="n"/>
      <c r="H845" s="10" t="n"/>
      <c r="I845" s="10">
        <f>IF($G845="Approved",IF($H845="",IF($F845="",0,$F845),$H845),0)</f>
        <v/>
      </c>
      <c r="J845" s="9" t="n"/>
      <c r="K845" s="9" t="n"/>
      <c r="L845" s="9" t="n"/>
    </row>
    <row r="846">
      <c r="A846" s="15" t="n"/>
      <c r="B846" s="9" t="n"/>
      <c r="C846" s="9" t="n"/>
      <c r="D846" s="17" t="n"/>
      <c r="E846" s="17" t="n"/>
      <c r="F846" s="10">
        <f>IF(OR($D846="",$E846=""),"",ROUND(MOD($E846-$D846,1)*24,2))</f>
        <v/>
      </c>
      <c r="G846" s="9" t="n"/>
      <c r="H846" s="10" t="n"/>
      <c r="I846" s="10">
        <f>IF($G846="Approved",IF($H846="",IF($F846="",0,$F846),$H846),0)</f>
        <v/>
      </c>
      <c r="J846" s="9" t="n"/>
      <c r="K846" s="9" t="n"/>
      <c r="L846" s="9" t="n"/>
    </row>
    <row r="847">
      <c r="A847" s="15" t="n"/>
      <c r="B847" s="9" t="n"/>
      <c r="C847" s="9" t="n"/>
      <c r="D847" s="17" t="n"/>
      <c r="E847" s="17" t="n"/>
      <c r="F847" s="10">
        <f>IF(OR($D847="",$E847=""),"",ROUND(MOD($E847-$D847,1)*24,2))</f>
        <v/>
      </c>
      <c r="G847" s="9" t="n"/>
      <c r="H847" s="10" t="n"/>
      <c r="I847" s="10">
        <f>IF($G847="Approved",IF($H847="",IF($F847="",0,$F847),$H847),0)</f>
        <v/>
      </c>
      <c r="J847" s="9" t="n"/>
      <c r="K847" s="9" t="n"/>
      <c r="L847" s="9" t="n"/>
    </row>
    <row r="848">
      <c r="A848" s="15" t="n"/>
      <c r="B848" s="9" t="n"/>
      <c r="C848" s="9" t="n"/>
      <c r="D848" s="17" t="n"/>
      <c r="E848" s="17" t="n"/>
      <c r="F848" s="10">
        <f>IF(OR($D848="",$E848=""),"",ROUND(MOD($E848-$D848,1)*24,2))</f>
        <v/>
      </c>
      <c r="G848" s="9" t="n"/>
      <c r="H848" s="10" t="n"/>
      <c r="I848" s="10">
        <f>IF($G848="Approved",IF($H848="",IF($F848="",0,$F848),$H848),0)</f>
        <v/>
      </c>
      <c r="J848" s="9" t="n"/>
      <c r="K848" s="9" t="n"/>
      <c r="L848" s="9" t="n"/>
    </row>
    <row r="849">
      <c r="A849" s="15" t="n"/>
      <c r="B849" s="9" t="n"/>
      <c r="C849" s="9" t="n"/>
      <c r="D849" s="17" t="n"/>
      <c r="E849" s="17" t="n"/>
      <c r="F849" s="10">
        <f>IF(OR($D849="",$E849=""),"",ROUND(MOD($E849-$D849,1)*24,2))</f>
        <v/>
      </c>
      <c r="G849" s="9" t="n"/>
      <c r="H849" s="10" t="n"/>
      <c r="I849" s="10">
        <f>IF($G849="Approved",IF($H849="",IF($F849="",0,$F849),$H849),0)</f>
        <v/>
      </c>
      <c r="J849" s="9" t="n"/>
      <c r="K849" s="9" t="n"/>
      <c r="L849" s="9" t="n"/>
    </row>
    <row r="850">
      <c r="A850" s="15" t="n"/>
      <c r="B850" s="9" t="n"/>
      <c r="C850" s="9" t="n"/>
      <c r="D850" s="17" t="n"/>
      <c r="E850" s="17" t="n"/>
      <c r="F850" s="10">
        <f>IF(OR($D850="",$E850=""),"",ROUND(MOD($E850-$D850,1)*24,2))</f>
        <v/>
      </c>
      <c r="G850" s="9" t="n"/>
      <c r="H850" s="10" t="n"/>
      <c r="I850" s="10">
        <f>IF($G850="Approved",IF($H850="",IF($F850="",0,$F850),$H850),0)</f>
        <v/>
      </c>
      <c r="J850" s="9" t="n"/>
      <c r="K850" s="9" t="n"/>
      <c r="L850" s="9" t="n"/>
    </row>
    <row r="851">
      <c r="A851" s="15" t="n"/>
      <c r="B851" s="9" t="n"/>
      <c r="C851" s="9" t="n"/>
      <c r="D851" s="17" t="n"/>
      <c r="E851" s="17" t="n"/>
      <c r="F851" s="10">
        <f>IF(OR($D851="",$E851=""),"",ROUND(MOD($E851-$D851,1)*24,2))</f>
        <v/>
      </c>
      <c r="G851" s="9" t="n"/>
      <c r="H851" s="10" t="n"/>
      <c r="I851" s="10">
        <f>IF($G851="Approved",IF($H851="",IF($F851="",0,$F851),$H851),0)</f>
        <v/>
      </c>
      <c r="J851" s="9" t="n"/>
      <c r="K851" s="9" t="n"/>
      <c r="L851" s="9" t="n"/>
    </row>
    <row r="852">
      <c r="A852" s="15" t="n"/>
      <c r="B852" s="9" t="n"/>
      <c r="C852" s="9" t="n"/>
      <c r="D852" s="17" t="n"/>
      <c r="E852" s="17" t="n"/>
      <c r="F852" s="10">
        <f>IF(OR($D852="",$E852=""),"",ROUND(MOD($E852-$D852,1)*24,2))</f>
        <v/>
      </c>
      <c r="G852" s="9" t="n"/>
      <c r="H852" s="10" t="n"/>
      <c r="I852" s="10">
        <f>IF($G852="Approved",IF($H852="",IF($F852="",0,$F852),$H852),0)</f>
        <v/>
      </c>
      <c r="J852" s="9" t="n"/>
      <c r="K852" s="9" t="n"/>
      <c r="L852" s="9" t="n"/>
    </row>
    <row r="853">
      <c r="A853" s="15" t="n"/>
      <c r="B853" s="9" t="n"/>
      <c r="C853" s="9" t="n"/>
      <c r="D853" s="17" t="n"/>
      <c r="E853" s="17" t="n"/>
      <c r="F853" s="10">
        <f>IF(OR($D853="",$E853=""),"",ROUND(MOD($E853-$D853,1)*24,2))</f>
        <v/>
      </c>
      <c r="G853" s="9" t="n"/>
      <c r="H853" s="10" t="n"/>
      <c r="I853" s="10">
        <f>IF($G853="Approved",IF($H853="",IF($F853="",0,$F853),$H853),0)</f>
        <v/>
      </c>
      <c r="J853" s="9" t="n"/>
      <c r="K853" s="9" t="n"/>
      <c r="L853" s="9" t="n"/>
    </row>
    <row r="854">
      <c r="A854" s="15" t="n"/>
      <c r="B854" s="9" t="n"/>
      <c r="C854" s="9" t="n"/>
      <c r="D854" s="17" t="n"/>
      <c r="E854" s="17" t="n"/>
      <c r="F854" s="10">
        <f>IF(OR($D854="",$E854=""),"",ROUND(MOD($E854-$D854,1)*24,2))</f>
        <v/>
      </c>
      <c r="G854" s="9" t="n"/>
      <c r="H854" s="10" t="n"/>
      <c r="I854" s="10">
        <f>IF($G854="Approved",IF($H854="",IF($F854="",0,$F854),$H854),0)</f>
        <v/>
      </c>
      <c r="J854" s="9" t="n"/>
      <c r="K854" s="9" t="n"/>
      <c r="L854" s="9" t="n"/>
    </row>
    <row r="855">
      <c r="A855" s="15" t="n"/>
      <c r="B855" s="9" t="n"/>
      <c r="C855" s="9" t="n"/>
      <c r="D855" s="17" t="n"/>
      <c r="E855" s="17" t="n"/>
      <c r="F855" s="10">
        <f>IF(OR($D855="",$E855=""),"",ROUND(MOD($E855-$D855,1)*24,2))</f>
        <v/>
      </c>
      <c r="G855" s="9" t="n"/>
      <c r="H855" s="10" t="n"/>
      <c r="I855" s="10">
        <f>IF($G855="Approved",IF($H855="",IF($F855="",0,$F855),$H855),0)</f>
        <v/>
      </c>
      <c r="J855" s="9" t="n"/>
      <c r="K855" s="9" t="n"/>
      <c r="L855" s="9" t="n"/>
    </row>
    <row r="856">
      <c r="A856" s="15" t="n"/>
      <c r="B856" s="9" t="n"/>
      <c r="C856" s="9" t="n"/>
      <c r="D856" s="17" t="n"/>
      <c r="E856" s="17" t="n"/>
      <c r="F856" s="10">
        <f>IF(OR($D856="",$E856=""),"",ROUND(MOD($E856-$D856,1)*24,2))</f>
        <v/>
      </c>
      <c r="G856" s="9" t="n"/>
      <c r="H856" s="10" t="n"/>
      <c r="I856" s="10">
        <f>IF($G856="Approved",IF($H856="",IF($F856="",0,$F856),$H856),0)</f>
        <v/>
      </c>
      <c r="J856" s="9" t="n"/>
      <c r="K856" s="9" t="n"/>
      <c r="L856" s="9" t="n"/>
    </row>
    <row r="857">
      <c r="A857" s="15" t="n"/>
      <c r="B857" s="9" t="n"/>
      <c r="C857" s="9" t="n"/>
      <c r="D857" s="17" t="n"/>
      <c r="E857" s="17" t="n"/>
      <c r="F857" s="10">
        <f>IF(OR($D857="",$E857=""),"",ROUND(MOD($E857-$D857,1)*24,2))</f>
        <v/>
      </c>
      <c r="G857" s="9" t="n"/>
      <c r="H857" s="10" t="n"/>
      <c r="I857" s="10">
        <f>IF($G857="Approved",IF($H857="",IF($F857="",0,$F857),$H857),0)</f>
        <v/>
      </c>
      <c r="J857" s="9" t="n"/>
      <c r="K857" s="9" t="n"/>
      <c r="L857" s="9" t="n"/>
    </row>
    <row r="858">
      <c r="A858" s="15" t="n"/>
      <c r="B858" s="9" t="n"/>
      <c r="C858" s="9" t="n"/>
      <c r="D858" s="17" t="n"/>
      <c r="E858" s="17" t="n"/>
      <c r="F858" s="10">
        <f>IF(OR($D858="",$E858=""),"",ROUND(MOD($E858-$D858,1)*24,2))</f>
        <v/>
      </c>
      <c r="G858" s="9" t="n"/>
      <c r="H858" s="10" t="n"/>
      <c r="I858" s="10">
        <f>IF($G858="Approved",IF($H858="",IF($F858="",0,$F858),$H858),0)</f>
        <v/>
      </c>
      <c r="J858" s="9" t="n"/>
      <c r="K858" s="9" t="n"/>
      <c r="L858" s="9" t="n"/>
    </row>
    <row r="859">
      <c r="A859" s="15" t="n"/>
      <c r="B859" s="9" t="n"/>
      <c r="C859" s="9" t="n"/>
      <c r="D859" s="17" t="n"/>
      <c r="E859" s="17" t="n"/>
      <c r="F859" s="10">
        <f>IF(OR($D859="",$E859=""),"",ROUND(MOD($E859-$D859,1)*24,2))</f>
        <v/>
      </c>
      <c r="G859" s="9" t="n"/>
      <c r="H859" s="10" t="n"/>
      <c r="I859" s="10">
        <f>IF($G859="Approved",IF($H859="",IF($F859="",0,$F859),$H859),0)</f>
        <v/>
      </c>
      <c r="J859" s="9" t="n"/>
      <c r="K859" s="9" t="n"/>
      <c r="L859" s="9" t="n"/>
    </row>
    <row r="860">
      <c r="A860" s="15" t="n"/>
      <c r="B860" s="9" t="n"/>
      <c r="C860" s="9" t="n"/>
      <c r="D860" s="17" t="n"/>
      <c r="E860" s="17" t="n"/>
      <c r="F860" s="10">
        <f>IF(OR($D860="",$E860=""),"",ROUND(MOD($E860-$D860,1)*24,2))</f>
        <v/>
      </c>
      <c r="G860" s="9" t="n"/>
      <c r="H860" s="10" t="n"/>
      <c r="I860" s="10">
        <f>IF($G860="Approved",IF($H860="",IF($F860="",0,$F860),$H860),0)</f>
        <v/>
      </c>
      <c r="J860" s="9" t="n"/>
      <c r="K860" s="9" t="n"/>
      <c r="L860" s="9" t="n"/>
    </row>
    <row r="861">
      <c r="A861" s="15" t="n"/>
      <c r="B861" s="9" t="n"/>
      <c r="C861" s="9" t="n"/>
      <c r="D861" s="17" t="n"/>
      <c r="E861" s="17" t="n"/>
      <c r="F861" s="10">
        <f>IF(OR($D861="",$E861=""),"",ROUND(MOD($E861-$D861,1)*24,2))</f>
        <v/>
      </c>
      <c r="G861" s="9" t="n"/>
      <c r="H861" s="10" t="n"/>
      <c r="I861" s="10">
        <f>IF($G861="Approved",IF($H861="",IF($F861="",0,$F861),$H861),0)</f>
        <v/>
      </c>
      <c r="J861" s="9" t="n"/>
      <c r="K861" s="9" t="n"/>
      <c r="L861" s="9" t="n"/>
    </row>
    <row r="862">
      <c r="A862" s="15" t="n"/>
      <c r="B862" s="9" t="n"/>
      <c r="C862" s="9" t="n"/>
      <c r="D862" s="17" t="n"/>
      <c r="E862" s="17" t="n"/>
      <c r="F862" s="10">
        <f>IF(OR($D862="",$E862=""),"",ROUND(MOD($E862-$D862,1)*24,2))</f>
        <v/>
      </c>
      <c r="G862" s="9" t="n"/>
      <c r="H862" s="10" t="n"/>
      <c r="I862" s="10">
        <f>IF($G862="Approved",IF($H862="",IF($F862="",0,$F862),$H862),0)</f>
        <v/>
      </c>
      <c r="J862" s="9" t="n"/>
      <c r="K862" s="9" t="n"/>
      <c r="L862" s="9" t="n"/>
    </row>
    <row r="863">
      <c r="A863" s="15" t="n"/>
      <c r="B863" s="9" t="n"/>
      <c r="C863" s="9" t="n"/>
      <c r="D863" s="17" t="n"/>
      <c r="E863" s="17" t="n"/>
      <c r="F863" s="10">
        <f>IF(OR($D863="",$E863=""),"",ROUND(MOD($E863-$D863,1)*24,2))</f>
        <v/>
      </c>
      <c r="G863" s="9" t="n"/>
      <c r="H863" s="10" t="n"/>
      <c r="I863" s="10">
        <f>IF($G863="Approved",IF($H863="",IF($F863="",0,$F863),$H863),0)</f>
        <v/>
      </c>
      <c r="J863" s="9" t="n"/>
      <c r="K863" s="9" t="n"/>
      <c r="L863" s="9" t="n"/>
    </row>
    <row r="864">
      <c r="A864" s="15" t="n"/>
      <c r="B864" s="9" t="n"/>
      <c r="C864" s="9" t="n"/>
      <c r="D864" s="17" t="n"/>
      <c r="E864" s="17" t="n"/>
      <c r="F864" s="10">
        <f>IF(OR($D864="",$E864=""),"",ROUND(MOD($E864-$D864,1)*24,2))</f>
        <v/>
      </c>
      <c r="G864" s="9" t="n"/>
      <c r="H864" s="10" t="n"/>
      <c r="I864" s="10">
        <f>IF($G864="Approved",IF($H864="",IF($F864="",0,$F864),$H864),0)</f>
        <v/>
      </c>
      <c r="J864" s="9" t="n"/>
      <c r="K864" s="9" t="n"/>
      <c r="L864" s="9" t="n"/>
    </row>
    <row r="865">
      <c r="A865" s="15" t="n"/>
      <c r="B865" s="9" t="n"/>
      <c r="C865" s="9" t="n"/>
      <c r="D865" s="17" t="n"/>
      <c r="E865" s="17" t="n"/>
      <c r="F865" s="10">
        <f>IF(OR($D865="",$E865=""),"",ROUND(MOD($E865-$D865,1)*24,2))</f>
        <v/>
      </c>
      <c r="G865" s="9" t="n"/>
      <c r="H865" s="10" t="n"/>
      <c r="I865" s="10">
        <f>IF($G865="Approved",IF($H865="",IF($F865="",0,$F865),$H865),0)</f>
        <v/>
      </c>
      <c r="J865" s="9" t="n"/>
      <c r="K865" s="9" t="n"/>
      <c r="L865" s="9" t="n"/>
    </row>
    <row r="866">
      <c r="A866" s="15" t="n"/>
      <c r="B866" s="9" t="n"/>
      <c r="C866" s="9" t="n"/>
      <c r="D866" s="17" t="n"/>
      <c r="E866" s="17" t="n"/>
      <c r="F866" s="10">
        <f>IF(OR($D866="",$E866=""),"",ROUND(MOD($E866-$D866,1)*24,2))</f>
        <v/>
      </c>
      <c r="G866" s="9" t="n"/>
      <c r="H866" s="10" t="n"/>
      <c r="I866" s="10">
        <f>IF($G866="Approved",IF($H866="",IF($F866="",0,$F866),$H866),0)</f>
        <v/>
      </c>
      <c r="J866" s="9" t="n"/>
      <c r="K866" s="9" t="n"/>
      <c r="L866" s="9" t="n"/>
    </row>
    <row r="867">
      <c r="A867" s="15" t="n"/>
      <c r="B867" s="9" t="n"/>
      <c r="C867" s="9" t="n"/>
      <c r="D867" s="17" t="n"/>
      <c r="E867" s="17" t="n"/>
      <c r="F867" s="10">
        <f>IF(OR($D867="",$E867=""),"",ROUND(MOD($E867-$D867,1)*24,2))</f>
        <v/>
      </c>
      <c r="G867" s="9" t="n"/>
      <c r="H867" s="10" t="n"/>
      <c r="I867" s="10">
        <f>IF($G867="Approved",IF($H867="",IF($F867="",0,$F867),$H867),0)</f>
        <v/>
      </c>
      <c r="J867" s="9" t="n"/>
      <c r="K867" s="9" t="n"/>
      <c r="L867" s="9" t="n"/>
    </row>
    <row r="868">
      <c r="A868" s="15" t="n"/>
      <c r="B868" s="9" t="n"/>
      <c r="C868" s="9" t="n"/>
      <c r="D868" s="17" t="n"/>
      <c r="E868" s="17" t="n"/>
      <c r="F868" s="10">
        <f>IF(OR($D868="",$E868=""),"",ROUND(MOD($E868-$D868,1)*24,2))</f>
        <v/>
      </c>
      <c r="G868" s="9" t="n"/>
      <c r="H868" s="10" t="n"/>
      <c r="I868" s="10">
        <f>IF($G868="Approved",IF($H868="",IF($F868="",0,$F868),$H868),0)</f>
        <v/>
      </c>
      <c r="J868" s="9" t="n"/>
      <c r="K868" s="9" t="n"/>
      <c r="L868" s="9" t="n"/>
    </row>
    <row r="869">
      <c r="A869" s="15" t="n"/>
      <c r="B869" s="9" t="n"/>
      <c r="C869" s="9" t="n"/>
      <c r="D869" s="17" t="n"/>
      <c r="E869" s="17" t="n"/>
      <c r="F869" s="10">
        <f>IF(OR($D869="",$E869=""),"",ROUND(MOD($E869-$D869,1)*24,2))</f>
        <v/>
      </c>
      <c r="G869" s="9" t="n"/>
      <c r="H869" s="10" t="n"/>
      <c r="I869" s="10">
        <f>IF($G869="Approved",IF($H869="",IF($F869="",0,$F869),$H869),0)</f>
        <v/>
      </c>
      <c r="J869" s="9" t="n"/>
      <c r="K869" s="9" t="n"/>
      <c r="L869" s="9" t="n"/>
    </row>
    <row r="870">
      <c r="A870" s="15" t="n"/>
      <c r="B870" s="9" t="n"/>
      <c r="C870" s="9" t="n"/>
      <c r="D870" s="17" t="n"/>
      <c r="E870" s="17" t="n"/>
      <c r="F870" s="10">
        <f>IF(OR($D870="",$E870=""),"",ROUND(MOD($E870-$D870,1)*24,2))</f>
        <v/>
      </c>
      <c r="G870" s="9" t="n"/>
      <c r="H870" s="10" t="n"/>
      <c r="I870" s="10">
        <f>IF($G870="Approved",IF($H870="",IF($F870="",0,$F870),$H870),0)</f>
        <v/>
      </c>
      <c r="J870" s="9" t="n"/>
      <c r="K870" s="9" t="n"/>
      <c r="L870" s="9" t="n"/>
    </row>
    <row r="871">
      <c r="A871" s="15" t="n"/>
      <c r="B871" s="9" t="n"/>
      <c r="C871" s="9" t="n"/>
      <c r="D871" s="17" t="n"/>
      <c r="E871" s="17" t="n"/>
      <c r="F871" s="10">
        <f>IF(OR($D871="",$E871=""),"",ROUND(MOD($E871-$D871,1)*24,2))</f>
        <v/>
      </c>
      <c r="G871" s="9" t="n"/>
      <c r="H871" s="10" t="n"/>
      <c r="I871" s="10">
        <f>IF($G871="Approved",IF($H871="",IF($F871="",0,$F871),$H871),0)</f>
        <v/>
      </c>
      <c r="J871" s="9" t="n"/>
      <c r="K871" s="9" t="n"/>
      <c r="L871" s="9" t="n"/>
    </row>
    <row r="872">
      <c r="A872" s="15" t="n"/>
      <c r="B872" s="9" t="n"/>
      <c r="C872" s="9" t="n"/>
      <c r="D872" s="17" t="n"/>
      <c r="E872" s="17" t="n"/>
      <c r="F872" s="10">
        <f>IF(OR($D872="",$E872=""),"",ROUND(MOD($E872-$D872,1)*24,2))</f>
        <v/>
      </c>
      <c r="G872" s="9" t="n"/>
      <c r="H872" s="10" t="n"/>
      <c r="I872" s="10">
        <f>IF($G872="Approved",IF($H872="",IF($F872="",0,$F872),$H872),0)</f>
        <v/>
      </c>
      <c r="J872" s="9" t="n"/>
      <c r="K872" s="9" t="n"/>
      <c r="L872" s="9" t="n"/>
    </row>
    <row r="873">
      <c r="A873" s="15" t="n"/>
      <c r="B873" s="9" t="n"/>
      <c r="C873" s="9" t="n"/>
      <c r="D873" s="17" t="n"/>
      <c r="E873" s="17" t="n"/>
      <c r="F873" s="10">
        <f>IF(OR($D873="",$E873=""),"",ROUND(MOD($E873-$D873,1)*24,2))</f>
        <v/>
      </c>
      <c r="G873" s="9" t="n"/>
      <c r="H873" s="10" t="n"/>
      <c r="I873" s="10">
        <f>IF($G873="Approved",IF($H873="",IF($F873="",0,$F873),$H873),0)</f>
        <v/>
      </c>
      <c r="J873" s="9" t="n"/>
      <c r="K873" s="9" t="n"/>
      <c r="L873" s="9" t="n"/>
    </row>
    <row r="874">
      <c r="A874" s="15" t="n"/>
      <c r="B874" s="9" t="n"/>
      <c r="C874" s="9" t="n"/>
      <c r="D874" s="17" t="n"/>
      <c r="E874" s="17" t="n"/>
      <c r="F874" s="10">
        <f>IF(OR($D874="",$E874=""),"",ROUND(MOD($E874-$D874,1)*24,2))</f>
        <v/>
      </c>
      <c r="G874" s="9" t="n"/>
      <c r="H874" s="10" t="n"/>
      <c r="I874" s="10">
        <f>IF($G874="Approved",IF($H874="",IF($F874="",0,$F874),$H874),0)</f>
        <v/>
      </c>
      <c r="J874" s="9" t="n"/>
      <c r="K874" s="9" t="n"/>
      <c r="L874" s="9" t="n"/>
    </row>
    <row r="875">
      <c r="A875" s="15" t="n"/>
      <c r="B875" s="9" t="n"/>
      <c r="C875" s="9" t="n"/>
      <c r="D875" s="17" t="n"/>
      <c r="E875" s="17" t="n"/>
      <c r="F875" s="10">
        <f>IF(OR($D875="",$E875=""),"",ROUND(MOD($E875-$D875,1)*24,2))</f>
        <v/>
      </c>
      <c r="G875" s="9" t="n"/>
      <c r="H875" s="10" t="n"/>
      <c r="I875" s="10">
        <f>IF($G875="Approved",IF($H875="",IF($F875="",0,$F875),$H875),0)</f>
        <v/>
      </c>
      <c r="J875" s="9" t="n"/>
      <c r="K875" s="9" t="n"/>
      <c r="L875" s="9" t="n"/>
    </row>
    <row r="876">
      <c r="A876" s="15" t="n"/>
      <c r="B876" s="9" t="n"/>
      <c r="C876" s="9" t="n"/>
      <c r="D876" s="17" t="n"/>
      <c r="E876" s="17" t="n"/>
      <c r="F876" s="10">
        <f>IF(OR($D876="",$E876=""),"",ROUND(MOD($E876-$D876,1)*24,2))</f>
        <v/>
      </c>
      <c r="G876" s="9" t="n"/>
      <c r="H876" s="10" t="n"/>
      <c r="I876" s="10">
        <f>IF($G876="Approved",IF($H876="",IF($F876="",0,$F876),$H876),0)</f>
        <v/>
      </c>
      <c r="J876" s="9" t="n"/>
      <c r="K876" s="9" t="n"/>
      <c r="L876" s="9" t="n"/>
    </row>
    <row r="877">
      <c r="A877" s="15" t="n"/>
      <c r="B877" s="9" t="n"/>
      <c r="C877" s="9" t="n"/>
      <c r="D877" s="17" t="n"/>
      <c r="E877" s="17" t="n"/>
      <c r="F877" s="10">
        <f>IF(OR($D877="",$E877=""),"",ROUND(MOD($E877-$D877,1)*24,2))</f>
        <v/>
      </c>
      <c r="G877" s="9" t="n"/>
      <c r="H877" s="10" t="n"/>
      <c r="I877" s="10">
        <f>IF($G877="Approved",IF($H877="",IF($F877="",0,$F877),$H877),0)</f>
        <v/>
      </c>
      <c r="J877" s="9" t="n"/>
      <c r="K877" s="9" t="n"/>
      <c r="L877" s="9" t="n"/>
    </row>
    <row r="878">
      <c r="A878" s="15" t="n"/>
      <c r="B878" s="9" t="n"/>
      <c r="C878" s="9" t="n"/>
      <c r="D878" s="17" t="n"/>
      <c r="E878" s="17" t="n"/>
      <c r="F878" s="10">
        <f>IF(OR($D878="",$E878=""),"",ROUND(MOD($E878-$D878,1)*24,2))</f>
        <v/>
      </c>
      <c r="G878" s="9" t="n"/>
      <c r="H878" s="10" t="n"/>
      <c r="I878" s="10">
        <f>IF($G878="Approved",IF($H878="",IF($F878="",0,$F878),$H878),0)</f>
        <v/>
      </c>
      <c r="J878" s="9" t="n"/>
      <c r="K878" s="9" t="n"/>
      <c r="L878" s="9" t="n"/>
    </row>
    <row r="879">
      <c r="A879" s="15" t="n"/>
      <c r="B879" s="9" t="n"/>
      <c r="C879" s="9" t="n"/>
      <c r="D879" s="17" t="n"/>
      <c r="E879" s="17" t="n"/>
      <c r="F879" s="10">
        <f>IF(OR($D879="",$E879=""),"",ROUND(MOD($E879-$D879,1)*24,2))</f>
        <v/>
      </c>
      <c r="G879" s="9" t="n"/>
      <c r="H879" s="10" t="n"/>
      <c r="I879" s="10">
        <f>IF($G879="Approved",IF($H879="",IF($F879="",0,$F879),$H879),0)</f>
        <v/>
      </c>
      <c r="J879" s="9" t="n"/>
      <c r="K879" s="9" t="n"/>
      <c r="L879" s="9" t="n"/>
    </row>
    <row r="880">
      <c r="A880" s="15" t="n"/>
      <c r="B880" s="9" t="n"/>
      <c r="C880" s="9" t="n"/>
      <c r="D880" s="17" t="n"/>
      <c r="E880" s="17" t="n"/>
      <c r="F880" s="10">
        <f>IF(OR($D880="",$E880=""),"",ROUND(MOD($E880-$D880,1)*24,2))</f>
        <v/>
      </c>
      <c r="G880" s="9" t="n"/>
      <c r="H880" s="10" t="n"/>
      <c r="I880" s="10">
        <f>IF($G880="Approved",IF($H880="",IF($F880="",0,$F880),$H880),0)</f>
        <v/>
      </c>
      <c r="J880" s="9" t="n"/>
      <c r="K880" s="9" t="n"/>
      <c r="L880" s="9" t="n"/>
    </row>
    <row r="881">
      <c r="A881" s="15" t="n"/>
      <c r="B881" s="9" t="n"/>
      <c r="C881" s="9" t="n"/>
      <c r="D881" s="17" t="n"/>
      <c r="E881" s="17" t="n"/>
      <c r="F881" s="10">
        <f>IF(OR($D881="",$E881=""),"",ROUND(MOD($E881-$D881,1)*24,2))</f>
        <v/>
      </c>
      <c r="G881" s="9" t="n"/>
      <c r="H881" s="10" t="n"/>
      <c r="I881" s="10">
        <f>IF($G881="Approved",IF($H881="",IF($F881="",0,$F881),$H881),0)</f>
        <v/>
      </c>
      <c r="J881" s="9" t="n"/>
      <c r="K881" s="9" t="n"/>
      <c r="L881" s="9" t="n"/>
    </row>
    <row r="882">
      <c r="A882" s="15" t="n"/>
      <c r="B882" s="9" t="n"/>
      <c r="C882" s="9" t="n"/>
      <c r="D882" s="17" t="n"/>
      <c r="E882" s="17" t="n"/>
      <c r="F882" s="10">
        <f>IF(OR($D882="",$E882=""),"",ROUND(MOD($E882-$D882,1)*24,2))</f>
        <v/>
      </c>
      <c r="G882" s="9" t="n"/>
      <c r="H882" s="10" t="n"/>
      <c r="I882" s="10">
        <f>IF($G882="Approved",IF($H882="",IF($F882="",0,$F882),$H882),0)</f>
        <v/>
      </c>
      <c r="J882" s="9" t="n"/>
      <c r="K882" s="9" t="n"/>
      <c r="L882" s="9" t="n"/>
    </row>
    <row r="883">
      <c r="A883" s="15" t="n"/>
      <c r="B883" s="9" t="n"/>
      <c r="C883" s="9" t="n"/>
      <c r="D883" s="17" t="n"/>
      <c r="E883" s="17" t="n"/>
      <c r="F883" s="10">
        <f>IF(OR($D883="",$E883=""),"",ROUND(MOD($E883-$D883,1)*24,2))</f>
        <v/>
      </c>
      <c r="G883" s="9" t="n"/>
      <c r="H883" s="10" t="n"/>
      <c r="I883" s="10">
        <f>IF($G883="Approved",IF($H883="",IF($F883="",0,$F883),$H883),0)</f>
        <v/>
      </c>
      <c r="J883" s="9" t="n"/>
      <c r="K883" s="9" t="n"/>
      <c r="L883" s="9" t="n"/>
    </row>
    <row r="884">
      <c r="A884" s="15" t="n"/>
      <c r="B884" s="9" t="n"/>
      <c r="C884" s="9" t="n"/>
      <c r="D884" s="17" t="n"/>
      <c r="E884" s="17" t="n"/>
      <c r="F884" s="10">
        <f>IF(OR($D884="",$E884=""),"",ROUND(MOD($E884-$D884,1)*24,2))</f>
        <v/>
      </c>
      <c r="G884" s="9" t="n"/>
      <c r="H884" s="10" t="n"/>
      <c r="I884" s="10">
        <f>IF($G884="Approved",IF($H884="",IF($F884="",0,$F884),$H884),0)</f>
        <v/>
      </c>
      <c r="J884" s="9" t="n"/>
      <c r="K884" s="9" t="n"/>
      <c r="L884" s="9" t="n"/>
    </row>
    <row r="885">
      <c r="A885" s="15" t="n"/>
      <c r="B885" s="9" t="n"/>
      <c r="C885" s="9" t="n"/>
      <c r="D885" s="17" t="n"/>
      <c r="E885" s="17" t="n"/>
      <c r="F885" s="10">
        <f>IF(OR($D885="",$E885=""),"",ROUND(MOD($E885-$D885,1)*24,2))</f>
        <v/>
      </c>
      <c r="G885" s="9" t="n"/>
      <c r="H885" s="10" t="n"/>
      <c r="I885" s="10">
        <f>IF($G885="Approved",IF($H885="",IF($F885="",0,$F885),$H885),0)</f>
        <v/>
      </c>
      <c r="J885" s="9" t="n"/>
      <c r="K885" s="9" t="n"/>
      <c r="L885" s="9" t="n"/>
    </row>
    <row r="886">
      <c r="A886" s="15" t="n"/>
      <c r="B886" s="9" t="n"/>
      <c r="C886" s="9" t="n"/>
      <c r="D886" s="17" t="n"/>
      <c r="E886" s="17" t="n"/>
      <c r="F886" s="10">
        <f>IF(OR($D886="",$E886=""),"",ROUND(MOD($E886-$D886,1)*24,2))</f>
        <v/>
      </c>
      <c r="G886" s="9" t="n"/>
      <c r="H886" s="10" t="n"/>
      <c r="I886" s="10">
        <f>IF($G886="Approved",IF($H886="",IF($F886="",0,$F886),$H886),0)</f>
        <v/>
      </c>
      <c r="J886" s="9" t="n"/>
      <c r="K886" s="9" t="n"/>
      <c r="L886" s="9" t="n"/>
    </row>
    <row r="887">
      <c r="A887" s="15" t="n"/>
      <c r="B887" s="9" t="n"/>
      <c r="C887" s="9" t="n"/>
      <c r="D887" s="17" t="n"/>
      <c r="E887" s="17" t="n"/>
      <c r="F887" s="10">
        <f>IF(OR($D887="",$E887=""),"",ROUND(MOD($E887-$D887,1)*24,2))</f>
        <v/>
      </c>
      <c r="G887" s="9" t="n"/>
      <c r="H887" s="10" t="n"/>
      <c r="I887" s="10">
        <f>IF($G887="Approved",IF($H887="",IF($F887="",0,$F887),$H887),0)</f>
        <v/>
      </c>
      <c r="J887" s="9" t="n"/>
      <c r="K887" s="9" t="n"/>
      <c r="L887" s="9" t="n"/>
    </row>
    <row r="888">
      <c r="A888" s="15" t="n"/>
      <c r="B888" s="9" t="n"/>
      <c r="C888" s="9" t="n"/>
      <c r="D888" s="17" t="n"/>
      <c r="E888" s="17" t="n"/>
      <c r="F888" s="10">
        <f>IF(OR($D888="",$E888=""),"",ROUND(MOD($E888-$D888,1)*24,2))</f>
        <v/>
      </c>
      <c r="G888" s="9" t="n"/>
      <c r="H888" s="10" t="n"/>
      <c r="I888" s="10">
        <f>IF($G888="Approved",IF($H888="",IF($F888="",0,$F888),$H888),0)</f>
        <v/>
      </c>
      <c r="J888" s="9" t="n"/>
      <c r="K888" s="9" t="n"/>
      <c r="L888" s="9" t="n"/>
    </row>
    <row r="889">
      <c r="A889" s="15" t="n"/>
      <c r="B889" s="9" t="n"/>
      <c r="C889" s="9" t="n"/>
      <c r="D889" s="17" t="n"/>
      <c r="E889" s="17" t="n"/>
      <c r="F889" s="10">
        <f>IF(OR($D889="",$E889=""),"",ROUND(MOD($E889-$D889,1)*24,2))</f>
        <v/>
      </c>
      <c r="G889" s="9" t="n"/>
      <c r="H889" s="10" t="n"/>
      <c r="I889" s="10">
        <f>IF($G889="Approved",IF($H889="",IF($F889="",0,$F889),$H889),0)</f>
        <v/>
      </c>
      <c r="J889" s="9" t="n"/>
      <c r="K889" s="9" t="n"/>
      <c r="L889" s="9" t="n"/>
    </row>
    <row r="890">
      <c r="A890" s="15" t="n"/>
      <c r="B890" s="9" t="n"/>
      <c r="C890" s="9" t="n"/>
      <c r="D890" s="17" t="n"/>
      <c r="E890" s="17" t="n"/>
      <c r="F890" s="10">
        <f>IF(OR($D890="",$E890=""),"",ROUND(MOD($E890-$D890,1)*24,2))</f>
        <v/>
      </c>
      <c r="G890" s="9" t="n"/>
      <c r="H890" s="10" t="n"/>
      <c r="I890" s="10">
        <f>IF($G890="Approved",IF($H890="",IF($F890="",0,$F890),$H890),0)</f>
        <v/>
      </c>
      <c r="J890" s="9" t="n"/>
      <c r="K890" s="9" t="n"/>
      <c r="L890" s="9" t="n"/>
    </row>
    <row r="891">
      <c r="A891" s="15" t="n"/>
      <c r="B891" s="9" t="n"/>
      <c r="C891" s="9" t="n"/>
      <c r="D891" s="17" t="n"/>
      <c r="E891" s="17" t="n"/>
      <c r="F891" s="10">
        <f>IF(OR($D891="",$E891=""),"",ROUND(MOD($E891-$D891,1)*24,2))</f>
        <v/>
      </c>
      <c r="G891" s="9" t="n"/>
      <c r="H891" s="10" t="n"/>
      <c r="I891" s="10">
        <f>IF($G891="Approved",IF($H891="",IF($F891="",0,$F891),$H891),0)</f>
        <v/>
      </c>
      <c r="J891" s="9" t="n"/>
      <c r="K891" s="9" t="n"/>
      <c r="L891" s="9" t="n"/>
    </row>
    <row r="892">
      <c r="A892" s="15" t="n"/>
      <c r="B892" s="9" t="n"/>
      <c r="C892" s="9" t="n"/>
      <c r="D892" s="17" t="n"/>
      <c r="E892" s="17" t="n"/>
      <c r="F892" s="10">
        <f>IF(OR($D892="",$E892=""),"",ROUND(MOD($E892-$D892,1)*24,2))</f>
        <v/>
      </c>
      <c r="G892" s="9" t="n"/>
      <c r="H892" s="10" t="n"/>
      <c r="I892" s="10">
        <f>IF($G892="Approved",IF($H892="",IF($F892="",0,$F892),$H892),0)</f>
        <v/>
      </c>
      <c r="J892" s="9" t="n"/>
      <c r="K892" s="9" t="n"/>
      <c r="L892" s="9" t="n"/>
    </row>
    <row r="893">
      <c r="A893" s="15" t="n"/>
      <c r="B893" s="9" t="n"/>
      <c r="C893" s="9" t="n"/>
      <c r="D893" s="17" t="n"/>
      <c r="E893" s="17" t="n"/>
      <c r="F893" s="10">
        <f>IF(OR($D893="",$E893=""),"",ROUND(MOD($E893-$D893,1)*24,2))</f>
        <v/>
      </c>
      <c r="G893" s="9" t="n"/>
      <c r="H893" s="10" t="n"/>
      <c r="I893" s="10">
        <f>IF($G893="Approved",IF($H893="",IF($F893="",0,$F893),$H893),0)</f>
        <v/>
      </c>
      <c r="J893" s="9" t="n"/>
      <c r="K893" s="9" t="n"/>
      <c r="L893" s="9" t="n"/>
    </row>
    <row r="894">
      <c r="A894" s="15" t="n"/>
      <c r="B894" s="9" t="n"/>
      <c r="C894" s="9" t="n"/>
      <c r="D894" s="17" t="n"/>
      <c r="E894" s="17" t="n"/>
      <c r="F894" s="10">
        <f>IF(OR($D894="",$E894=""),"",ROUND(MOD($E894-$D894,1)*24,2))</f>
        <v/>
      </c>
      <c r="G894" s="9" t="n"/>
      <c r="H894" s="10" t="n"/>
      <c r="I894" s="10">
        <f>IF($G894="Approved",IF($H894="",IF($F894="",0,$F894),$H894),0)</f>
        <v/>
      </c>
      <c r="J894" s="9" t="n"/>
      <c r="K894" s="9" t="n"/>
      <c r="L894" s="9" t="n"/>
    </row>
    <row r="895">
      <c r="A895" s="15" t="n"/>
      <c r="B895" s="9" t="n"/>
      <c r="C895" s="9" t="n"/>
      <c r="D895" s="17" t="n"/>
      <c r="E895" s="17" t="n"/>
      <c r="F895" s="10">
        <f>IF(OR($D895="",$E895=""),"",ROUND(MOD($E895-$D895,1)*24,2))</f>
        <v/>
      </c>
      <c r="G895" s="9" t="n"/>
      <c r="H895" s="10" t="n"/>
      <c r="I895" s="10">
        <f>IF($G895="Approved",IF($H895="",IF($F895="",0,$F895),$H895),0)</f>
        <v/>
      </c>
      <c r="J895" s="9" t="n"/>
      <c r="K895" s="9" t="n"/>
      <c r="L895" s="9" t="n"/>
    </row>
    <row r="896">
      <c r="A896" s="15" t="n"/>
      <c r="B896" s="9" t="n"/>
      <c r="C896" s="9" t="n"/>
      <c r="D896" s="17" t="n"/>
      <c r="E896" s="17" t="n"/>
      <c r="F896" s="10">
        <f>IF(OR($D896="",$E896=""),"",ROUND(MOD($E896-$D896,1)*24,2))</f>
        <v/>
      </c>
      <c r="G896" s="9" t="n"/>
      <c r="H896" s="10" t="n"/>
      <c r="I896" s="10">
        <f>IF($G896="Approved",IF($H896="",IF($F896="",0,$F896),$H896),0)</f>
        <v/>
      </c>
      <c r="J896" s="9" t="n"/>
      <c r="K896" s="9" t="n"/>
      <c r="L896" s="9" t="n"/>
    </row>
    <row r="897">
      <c r="A897" s="15" t="n"/>
      <c r="B897" s="9" t="n"/>
      <c r="C897" s="9" t="n"/>
      <c r="D897" s="17" t="n"/>
      <c r="E897" s="17" t="n"/>
      <c r="F897" s="10">
        <f>IF(OR($D897="",$E897=""),"",ROUND(MOD($E897-$D897,1)*24,2))</f>
        <v/>
      </c>
      <c r="G897" s="9" t="n"/>
      <c r="H897" s="10" t="n"/>
      <c r="I897" s="10">
        <f>IF($G897="Approved",IF($H897="",IF($F897="",0,$F897),$H897),0)</f>
        <v/>
      </c>
      <c r="J897" s="9" t="n"/>
      <c r="K897" s="9" t="n"/>
      <c r="L897" s="9" t="n"/>
    </row>
    <row r="898">
      <c r="A898" s="15" t="n"/>
      <c r="B898" s="9" t="n"/>
      <c r="C898" s="9" t="n"/>
      <c r="D898" s="17" t="n"/>
      <c r="E898" s="17" t="n"/>
      <c r="F898" s="10">
        <f>IF(OR($D898="",$E898=""),"",ROUND(MOD($E898-$D898,1)*24,2))</f>
        <v/>
      </c>
      <c r="G898" s="9" t="n"/>
      <c r="H898" s="10" t="n"/>
      <c r="I898" s="10">
        <f>IF($G898="Approved",IF($H898="",IF($F898="",0,$F898),$H898),0)</f>
        <v/>
      </c>
      <c r="J898" s="9" t="n"/>
      <c r="K898" s="9" t="n"/>
      <c r="L898" s="9" t="n"/>
    </row>
    <row r="899">
      <c r="A899" s="15" t="n"/>
      <c r="B899" s="9" t="n"/>
      <c r="C899" s="9" t="n"/>
      <c r="D899" s="17" t="n"/>
      <c r="E899" s="17" t="n"/>
      <c r="F899" s="10">
        <f>IF(OR($D899="",$E899=""),"",ROUND(MOD($E899-$D899,1)*24,2))</f>
        <v/>
      </c>
      <c r="G899" s="9" t="n"/>
      <c r="H899" s="10" t="n"/>
      <c r="I899" s="10">
        <f>IF($G899="Approved",IF($H899="",IF($F899="",0,$F899),$H899),0)</f>
        <v/>
      </c>
      <c r="J899" s="9" t="n"/>
      <c r="K899" s="9" t="n"/>
      <c r="L899" s="9" t="n"/>
    </row>
    <row r="900">
      <c r="A900" s="15" t="n"/>
      <c r="B900" s="9" t="n"/>
      <c r="C900" s="9" t="n"/>
      <c r="D900" s="17" t="n"/>
      <c r="E900" s="17" t="n"/>
      <c r="F900" s="10">
        <f>IF(OR($D900="",$E900=""),"",ROUND(MOD($E900-$D900,1)*24,2))</f>
        <v/>
      </c>
      <c r="G900" s="9" t="n"/>
      <c r="H900" s="10" t="n"/>
      <c r="I900" s="10">
        <f>IF($G900="Approved",IF($H900="",IF($F900="",0,$F900),$H900),0)</f>
        <v/>
      </c>
      <c r="J900" s="9" t="n"/>
      <c r="K900" s="9" t="n"/>
      <c r="L900" s="9" t="n"/>
    </row>
    <row r="901">
      <c r="A901" s="15" t="n"/>
      <c r="B901" s="9" t="n"/>
      <c r="C901" s="9" t="n"/>
      <c r="D901" s="17" t="n"/>
      <c r="E901" s="17" t="n"/>
      <c r="F901" s="10">
        <f>IF(OR($D901="",$E901=""),"",ROUND(MOD($E901-$D901,1)*24,2))</f>
        <v/>
      </c>
      <c r="G901" s="9" t="n"/>
      <c r="H901" s="10" t="n"/>
      <c r="I901" s="10">
        <f>IF($G901="Approved",IF($H901="",IF($F901="",0,$F901),$H901),0)</f>
        <v/>
      </c>
      <c r="J901" s="9" t="n"/>
      <c r="K901" s="9" t="n"/>
      <c r="L901" s="9" t="n"/>
    </row>
    <row r="902">
      <c r="A902" s="15" t="n"/>
      <c r="B902" s="9" t="n"/>
      <c r="C902" s="9" t="n"/>
      <c r="D902" s="17" t="n"/>
      <c r="E902" s="17" t="n"/>
      <c r="F902" s="10">
        <f>IF(OR($D902="",$E902=""),"",ROUND(MOD($E902-$D902,1)*24,2))</f>
        <v/>
      </c>
      <c r="G902" s="9" t="n"/>
      <c r="H902" s="10" t="n"/>
      <c r="I902" s="10">
        <f>IF($G902="Approved",IF($H902="",IF($F902="",0,$F902),$H902),0)</f>
        <v/>
      </c>
      <c r="J902" s="9" t="n"/>
      <c r="K902" s="9" t="n"/>
      <c r="L902" s="9" t="n"/>
    </row>
    <row r="903">
      <c r="A903" s="15" t="n"/>
      <c r="B903" s="9" t="n"/>
      <c r="C903" s="9" t="n"/>
      <c r="D903" s="17" t="n"/>
      <c r="E903" s="17" t="n"/>
      <c r="F903" s="10">
        <f>IF(OR($D903="",$E903=""),"",ROUND(MOD($E903-$D903,1)*24,2))</f>
        <v/>
      </c>
      <c r="G903" s="9" t="n"/>
      <c r="H903" s="10" t="n"/>
      <c r="I903" s="10">
        <f>IF($G903="Approved",IF($H903="",IF($F903="",0,$F903),$H903),0)</f>
        <v/>
      </c>
      <c r="J903" s="9" t="n"/>
      <c r="K903" s="9" t="n"/>
      <c r="L903" s="9" t="n"/>
    </row>
    <row r="904">
      <c r="A904" s="15" t="n"/>
      <c r="B904" s="9" t="n"/>
      <c r="C904" s="9" t="n"/>
      <c r="D904" s="17" t="n"/>
      <c r="E904" s="17" t="n"/>
      <c r="F904" s="10">
        <f>IF(OR($D904="",$E904=""),"",ROUND(MOD($E904-$D904,1)*24,2))</f>
        <v/>
      </c>
      <c r="G904" s="9" t="n"/>
      <c r="H904" s="10" t="n"/>
      <c r="I904" s="10">
        <f>IF($G904="Approved",IF($H904="",IF($F904="",0,$F904),$H904),0)</f>
        <v/>
      </c>
      <c r="J904" s="9" t="n"/>
      <c r="K904" s="9" t="n"/>
      <c r="L904" s="9" t="n"/>
    </row>
    <row r="905">
      <c r="A905" s="15" t="n"/>
      <c r="B905" s="9" t="n"/>
      <c r="C905" s="9" t="n"/>
      <c r="D905" s="17" t="n"/>
      <c r="E905" s="17" t="n"/>
      <c r="F905" s="10">
        <f>IF(OR($D905="",$E905=""),"",ROUND(MOD($E905-$D905,1)*24,2))</f>
        <v/>
      </c>
      <c r="G905" s="9" t="n"/>
      <c r="H905" s="10" t="n"/>
      <c r="I905" s="10">
        <f>IF($G905="Approved",IF($H905="",IF($F905="",0,$F905),$H905),0)</f>
        <v/>
      </c>
      <c r="J905" s="9" t="n"/>
      <c r="K905" s="9" t="n"/>
      <c r="L905" s="9" t="n"/>
    </row>
    <row r="906">
      <c r="A906" s="15" t="n"/>
      <c r="B906" s="9" t="n"/>
      <c r="C906" s="9" t="n"/>
      <c r="D906" s="17" t="n"/>
      <c r="E906" s="17" t="n"/>
      <c r="F906" s="10">
        <f>IF(OR($D906="",$E906=""),"",ROUND(MOD($E906-$D906,1)*24,2))</f>
        <v/>
      </c>
      <c r="G906" s="9" t="n"/>
      <c r="H906" s="10" t="n"/>
      <c r="I906" s="10">
        <f>IF($G906="Approved",IF($H906="",IF($F906="",0,$F906),$H906),0)</f>
        <v/>
      </c>
      <c r="J906" s="9" t="n"/>
      <c r="K906" s="9" t="n"/>
      <c r="L906" s="9" t="n"/>
    </row>
    <row r="907">
      <c r="A907" s="15" t="n"/>
      <c r="B907" s="9" t="n"/>
      <c r="C907" s="9" t="n"/>
      <c r="D907" s="17" t="n"/>
      <c r="E907" s="17" t="n"/>
      <c r="F907" s="10">
        <f>IF(OR($D907="",$E907=""),"",ROUND(MOD($E907-$D907,1)*24,2))</f>
        <v/>
      </c>
      <c r="G907" s="9" t="n"/>
      <c r="H907" s="10" t="n"/>
      <c r="I907" s="10">
        <f>IF($G907="Approved",IF($H907="",IF($F907="",0,$F907),$H907),0)</f>
        <v/>
      </c>
      <c r="J907" s="9" t="n"/>
      <c r="K907" s="9" t="n"/>
      <c r="L907" s="9" t="n"/>
    </row>
    <row r="908">
      <c r="A908" s="15" t="n"/>
      <c r="B908" s="9" t="n"/>
      <c r="C908" s="9" t="n"/>
      <c r="D908" s="17" t="n"/>
      <c r="E908" s="17" t="n"/>
      <c r="F908" s="10">
        <f>IF(OR($D908="",$E908=""),"",ROUND(MOD($E908-$D908,1)*24,2))</f>
        <v/>
      </c>
      <c r="G908" s="9" t="n"/>
      <c r="H908" s="10" t="n"/>
      <c r="I908" s="10">
        <f>IF($G908="Approved",IF($H908="",IF($F908="",0,$F908),$H908),0)</f>
        <v/>
      </c>
      <c r="J908" s="9" t="n"/>
      <c r="K908" s="9" t="n"/>
      <c r="L908" s="9" t="n"/>
    </row>
    <row r="909">
      <c r="A909" s="15" t="n"/>
      <c r="B909" s="9" t="n"/>
      <c r="C909" s="9" t="n"/>
      <c r="D909" s="17" t="n"/>
      <c r="E909" s="17" t="n"/>
      <c r="F909" s="10">
        <f>IF(OR($D909="",$E909=""),"",ROUND(MOD($E909-$D909,1)*24,2))</f>
        <v/>
      </c>
      <c r="G909" s="9" t="n"/>
      <c r="H909" s="10" t="n"/>
      <c r="I909" s="10">
        <f>IF($G909="Approved",IF($H909="",IF($F909="",0,$F909),$H909),0)</f>
        <v/>
      </c>
      <c r="J909" s="9" t="n"/>
      <c r="K909" s="9" t="n"/>
      <c r="L909" s="9" t="n"/>
    </row>
    <row r="910">
      <c r="A910" s="15" t="n"/>
      <c r="B910" s="9" t="n"/>
      <c r="C910" s="9" t="n"/>
      <c r="D910" s="17" t="n"/>
      <c r="E910" s="17" t="n"/>
      <c r="F910" s="10">
        <f>IF(OR($D910="",$E910=""),"",ROUND(MOD($E910-$D910,1)*24,2))</f>
        <v/>
      </c>
      <c r="G910" s="9" t="n"/>
      <c r="H910" s="10" t="n"/>
      <c r="I910" s="10">
        <f>IF($G910="Approved",IF($H910="",IF($F910="",0,$F910),$H910),0)</f>
        <v/>
      </c>
      <c r="J910" s="9" t="n"/>
      <c r="K910" s="9" t="n"/>
      <c r="L910" s="9" t="n"/>
    </row>
    <row r="911">
      <c r="A911" s="15" t="n"/>
      <c r="B911" s="9" t="n"/>
      <c r="C911" s="9" t="n"/>
      <c r="D911" s="17" t="n"/>
      <c r="E911" s="17" t="n"/>
      <c r="F911" s="10">
        <f>IF(OR($D911="",$E911=""),"",ROUND(MOD($E911-$D911,1)*24,2))</f>
        <v/>
      </c>
      <c r="G911" s="9" t="n"/>
      <c r="H911" s="10" t="n"/>
      <c r="I911" s="10">
        <f>IF($G911="Approved",IF($H911="",IF($F911="",0,$F911),$H911),0)</f>
        <v/>
      </c>
      <c r="J911" s="9" t="n"/>
      <c r="K911" s="9" t="n"/>
      <c r="L911" s="9" t="n"/>
    </row>
    <row r="912">
      <c r="A912" s="15" t="n"/>
      <c r="B912" s="9" t="n"/>
      <c r="C912" s="9" t="n"/>
      <c r="D912" s="17" t="n"/>
      <c r="E912" s="17" t="n"/>
      <c r="F912" s="10">
        <f>IF(OR($D912="",$E912=""),"",ROUND(MOD($E912-$D912,1)*24,2))</f>
        <v/>
      </c>
      <c r="G912" s="9" t="n"/>
      <c r="H912" s="10" t="n"/>
      <c r="I912" s="10">
        <f>IF($G912="Approved",IF($H912="",IF($F912="",0,$F912),$H912),0)</f>
        <v/>
      </c>
      <c r="J912" s="9" t="n"/>
      <c r="K912" s="9" t="n"/>
      <c r="L912" s="9" t="n"/>
    </row>
    <row r="913">
      <c r="A913" s="15" t="n"/>
      <c r="B913" s="9" t="n"/>
      <c r="C913" s="9" t="n"/>
      <c r="D913" s="17" t="n"/>
      <c r="E913" s="17" t="n"/>
      <c r="F913" s="10">
        <f>IF(OR($D913="",$E913=""),"",ROUND(MOD($E913-$D913,1)*24,2))</f>
        <v/>
      </c>
      <c r="G913" s="9" t="n"/>
      <c r="H913" s="10" t="n"/>
      <c r="I913" s="10">
        <f>IF($G913="Approved",IF($H913="",IF($F913="",0,$F913),$H913),0)</f>
        <v/>
      </c>
      <c r="J913" s="9" t="n"/>
      <c r="K913" s="9" t="n"/>
      <c r="L913" s="9" t="n"/>
    </row>
    <row r="914">
      <c r="A914" s="15" t="n"/>
      <c r="B914" s="9" t="n"/>
      <c r="C914" s="9" t="n"/>
      <c r="D914" s="17" t="n"/>
      <c r="E914" s="17" t="n"/>
      <c r="F914" s="10">
        <f>IF(OR($D914="",$E914=""),"",ROUND(MOD($E914-$D914,1)*24,2))</f>
        <v/>
      </c>
      <c r="G914" s="9" t="n"/>
      <c r="H914" s="10" t="n"/>
      <c r="I914" s="10">
        <f>IF($G914="Approved",IF($H914="",IF($F914="",0,$F914),$H914),0)</f>
        <v/>
      </c>
      <c r="J914" s="9" t="n"/>
      <c r="K914" s="9" t="n"/>
      <c r="L914" s="9" t="n"/>
    </row>
    <row r="915">
      <c r="A915" s="15" t="n"/>
      <c r="B915" s="9" t="n"/>
      <c r="C915" s="9" t="n"/>
      <c r="D915" s="17" t="n"/>
      <c r="E915" s="17" t="n"/>
      <c r="F915" s="10">
        <f>IF(OR($D915="",$E915=""),"",ROUND(MOD($E915-$D915,1)*24,2))</f>
        <v/>
      </c>
      <c r="G915" s="9" t="n"/>
      <c r="H915" s="10" t="n"/>
      <c r="I915" s="10">
        <f>IF($G915="Approved",IF($H915="",IF($F915="",0,$F915),$H915),0)</f>
        <v/>
      </c>
      <c r="J915" s="9" t="n"/>
      <c r="K915" s="9" t="n"/>
      <c r="L915" s="9" t="n"/>
    </row>
    <row r="916">
      <c r="A916" s="15" t="n"/>
      <c r="B916" s="9" t="n"/>
      <c r="C916" s="9" t="n"/>
      <c r="D916" s="17" t="n"/>
      <c r="E916" s="17" t="n"/>
      <c r="F916" s="10">
        <f>IF(OR($D916="",$E916=""),"",ROUND(MOD($E916-$D916,1)*24,2))</f>
        <v/>
      </c>
      <c r="G916" s="9" t="n"/>
      <c r="H916" s="10" t="n"/>
      <c r="I916" s="10">
        <f>IF($G916="Approved",IF($H916="",IF($F916="",0,$F916),$H916),0)</f>
        <v/>
      </c>
      <c r="J916" s="9" t="n"/>
      <c r="K916" s="9" t="n"/>
      <c r="L916" s="9" t="n"/>
    </row>
    <row r="917">
      <c r="A917" s="15" t="n"/>
      <c r="B917" s="9" t="n"/>
      <c r="C917" s="9" t="n"/>
      <c r="D917" s="17" t="n"/>
      <c r="E917" s="17" t="n"/>
      <c r="F917" s="10">
        <f>IF(OR($D917="",$E917=""),"",ROUND(MOD($E917-$D917,1)*24,2))</f>
        <v/>
      </c>
      <c r="G917" s="9" t="n"/>
      <c r="H917" s="10" t="n"/>
      <c r="I917" s="10">
        <f>IF($G917="Approved",IF($H917="",IF($F917="",0,$F917),$H917),0)</f>
        <v/>
      </c>
      <c r="J917" s="9" t="n"/>
      <c r="K917" s="9" t="n"/>
      <c r="L917" s="9" t="n"/>
    </row>
    <row r="918">
      <c r="A918" s="15" t="n"/>
      <c r="B918" s="9" t="n"/>
      <c r="C918" s="9" t="n"/>
      <c r="D918" s="17" t="n"/>
      <c r="E918" s="17" t="n"/>
      <c r="F918" s="10">
        <f>IF(OR($D918="",$E918=""),"",ROUND(MOD($E918-$D918,1)*24,2))</f>
        <v/>
      </c>
      <c r="G918" s="9" t="n"/>
      <c r="H918" s="10" t="n"/>
      <c r="I918" s="10">
        <f>IF($G918="Approved",IF($H918="",IF($F918="",0,$F918),$H918),0)</f>
        <v/>
      </c>
      <c r="J918" s="9" t="n"/>
      <c r="K918" s="9" t="n"/>
      <c r="L918" s="9" t="n"/>
    </row>
    <row r="919">
      <c r="A919" s="15" t="n"/>
      <c r="B919" s="9" t="n"/>
      <c r="C919" s="9" t="n"/>
      <c r="D919" s="17" t="n"/>
      <c r="E919" s="17" t="n"/>
      <c r="F919" s="10">
        <f>IF(OR($D919="",$E919=""),"",ROUND(MOD($E919-$D919,1)*24,2))</f>
        <v/>
      </c>
      <c r="G919" s="9" t="n"/>
      <c r="H919" s="10" t="n"/>
      <c r="I919" s="10">
        <f>IF($G919="Approved",IF($H919="",IF($F919="",0,$F919),$H919),0)</f>
        <v/>
      </c>
      <c r="J919" s="9" t="n"/>
      <c r="K919" s="9" t="n"/>
      <c r="L919" s="9" t="n"/>
    </row>
    <row r="920">
      <c r="A920" s="15" t="n"/>
      <c r="B920" s="9" t="n"/>
      <c r="C920" s="9" t="n"/>
      <c r="D920" s="17" t="n"/>
      <c r="E920" s="17" t="n"/>
      <c r="F920" s="10">
        <f>IF(OR($D920="",$E920=""),"",ROUND(MOD($E920-$D920,1)*24,2))</f>
        <v/>
      </c>
      <c r="G920" s="9" t="n"/>
      <c r="H920" s="10" t="n"/>
      <c r="I920" s="10">
        <f>IF($G920="Approved",IF($H920="",IF($F920="",0,$F920),$H920),0)</f>
        <v/>
      </c>
      <c r="J920" s="9" t="n"/>
      <c r="K920" s="9" t="n"/>
      <c r="L920" s="9" t="n"/>
    </row>
    <row r="921">
      <c r="A921" s="15" t="n"/>
      <c r="B921" s="9" t="n"/>
      <c r="C921" s="9" t="n"/>
      <c r="D921" s="17" t="n"/>
      <c r="E921" s="17" t="n"/>
      <c r="F921" s="10">
        <f>IF(OR($D921="",$E921=""),"",ROUND(MOD($E921-$D921,1)*24,2))</f>
        <v/>
      </c>
      <c r="G921" s="9" t="n"/>
      <c r="H921" s="10" t="n"/>
      <c r="I921" s="10">
        <f>IF($G921="Approved",IF($H921="",IF($F921="",0,$F921),$H921),0)</f>
        <v/>
      </c>
      <c r="J921" s="9" t="n"/>
      <c r="K921" s="9" t="n"/>
      <c r="L921" s="9" t="n"/>
    </row>
    <row r="922">
      <c r="A922" s="15" t="n"/>
      <c r="B922" s="9" t="n"/>
      <c r="C922" s="9" t="n"/>
      <c r="D922" s="17" t="n"/>
      <c r="E922" s="17" t="n"/>
      <c r="F922" s="10">
        <f>IF(OR($D922="",$E922=""),"",ROUND(MOD($E922-$D922,1)*24,2))</f>
        <v/>
      </c>
      <c r="G922" s="9" t="n"/>
      <c r="H922" s="10" t="n"/>
      <c r="I922" s="10">
        <f>IF($G922="Approved",IF($H922="",IF($F922="",0,$F922),$H922),0)</f>
        <v/>
      </c>
      <c r="J922" s="9" t="n"/>
      <c r="K922" s="9" t="n"/>
      <c r="L922" s="9" t="n"/>
    </row>
    <row r="923">
      <c r="A923" s="15" t="n"/>
      <c r="B923" s="9" t="n"/>
      <c r="C923" s="9" t="n"/>
      <c r="D923" s="17" t="n"/>
      <c r="E923" s="17" t="n"/>
      <c r="F923" s="10">
        <f>IF(OR($D923="",$E923=""),"",ROUND(MOD($E923-$D923,1)*24,2))</f>
        <v/>
      </c>
      <c r="G923" s="9" t="n"/>
      <c r="H923" s="10" t="n"/>
      <c r="I923" s="10">
        <f>IF($G923="Approved",IF($H923="",IF($F923="",0,$F923),$H923),0)</f>
        <v/>
      </c>
      <c r="J923" s="9" t="n"/>
      <c r="K923" s="9" t="n"/>
      <c r="L923" s="9" t="n"/>
    </row>
    <row r="924">
      <c r="A924" s="15" t="n"/>
      <c r="B924" s="9" t="n"/>
      <c r="C924" s="9" t="n"/>
      <c r="D924" s="17" t="n"/>
      <c r="E924" s="17" t="n"/>
      <c r="F924" s="10">
        <f>IF(OR($D924="",$E924=""),"",ROUND(MOD($E924-$D924,1)*24,2))</f>
        <v/>
      </c>
      <c r="G924" s="9" t="n"/>
      <c r="H924" s="10" t="n"/>
      <c r="I924" s="10">
        <f>IF($G924="Approved",IF($H924="",IF($F924="",0,$F924),$H924),0)</f>
        <v/>
      </c>
      <c r="J924" s="9" t="n"/>
      <c r="K924" s="9" t="n"/>
      <c r="L924" s="9" t="n"/>
    </row>
    <row r="925">
      <c r="A925" s="15" t="n"/>
      <c r="B925" s="9" t="n"/>
      <c r="C925" s="9" t="n"/>
      <c r="D925" s="17" t="n"/>
      <c r="E925" s="17" t="n"/>
      <c r="F925" s="10">
        <f>IF(OR($D925="",$E925=""),"",ROUND(MOD($E925-$D925,1)*24,2))</f>
        <v/>
      </c>
      <c r="G925" s="9" t="n"/>
      <c r="H925" s="10" t="n"/>
      <c r="I925" s="10">
        <f>IF($G925="Approved",IF($H925="",IF($F925="",0,$F925),$H925),0)</f>
        <v/>
      </c>
      <c r="J925" s="9" t="n"/>
      <c r="K925" s="9" t="n"/>
      <c r="L925" s="9" t="n"/>
    </row>
    <row r="926">
      <c r="A926" s="15" t="n"/>
      <c r="B926" s="9" t="n"/>
      <c r="C926" s="9" t="n"/>
      <c r="D926" s="17" t="n"/>
      <c r="E926" s="17" t="n"/>
      <c r="F926" s="10">
        <f>IF(OR($D926="",$E926=""),"",ROUND(MOD($E926-$D926,1)*24,2))</f>
        <v/>
      </c>
      <c r="G926" s="9" t="n"/>
      <c r="H926" s="10" t="n"/>
      <c r="I926" s="10">
        <f>IF($G926="Approved",IF($H926="",IF($F926="",0,$F926),$H926),0)</f>
        <v/>
      </c>
      <c r="J926" s="9" t="n"/>
      <c r="K926" s="9" t="n"/>
      <c r="L926" s="9" t="n"/>
    </row>
    <row r="927">
      <c r="A927" s="15" t="n"/>
      <c r="B927" s="9" t="n"/>
      <c r="C927" s="9" t="n"/>
      <c r="D927" s="17" t="n"/>
      <c r="E927" s="17" t="n"/>
      <c r="F927" s="10">
        <f>IF(OR($D927="",$E927=""),"",ROUND(MOD($E927-$D927,1)*24,2))</f>
        <v/>
      </c>
      <c r="G927" s="9" t="n"/>
      <c r="H927" s="10" t="n"/>
      <c r="I927" s="10">
        <f>IF($G927="Approved",IF($H927="",IF($F927="",0,$F927),$H927),0)</f>
        <v/>
      </c>
      <c r="J927" s="9" t="n"/>
      <c r="K927" s="9" t="n"/>
      <c r="L927" s="9" t="n"/>
    </row>
    <row r="928">
      <c r="A928" s="15" t="n"/>
      <c r="B928" s="9" t="n"/>
      <c r="C928" s="9" t="n"/>
      <c r="D928" s="17" t="n"/>
      <c r="E928" s="17" t="n"/>
      <c r="F928" s="10">
        <f>IF(OR($D928="",$E928=""),"",ROUND(MOD($E928-$D928,1)*24,2))</f>
        <v/>
      </c>
      <c r="G928" s="9" t="n"/>
      <c r="H928" s="10" t="n"/>
      <c r="I928" s="10">
        <f>IF($G928="Approved",IF($H928="",IF($F928="",0,$F928),$H928),0)</f>
        <v/>
      </c>
      <c r="J928" s="9" t="n"/>
      <c r="K928" s="9" t="n"/>
      <c r="L928" s="9" t="n"/>
    </row>
    <row r="929">
      <c r="A929" s="15" t="n"/>
      <c r="B929" s="9" t="n"/>
      <c r="C929" s="9" t="n"/>
      <c r="D929" s="17" t="n"/>
      <c r="E929" s="17" t="n"/>
      <c r="F929" s="10">
        <f>IF(OR($D929="",$E929=""),"",ROUND(MOD($E929-$D929,1)*24,2))</f>
        <v/>
      </c>
      <c r="G929" s="9" t="n"/>
      <c r="H929" s="10" t="n"/>
      <c r="I929" s="10">
        <f>IF($G929="Approved",IF($H929="",IF($F929="",0,$F929),$H929),0)</f>
        <v/>
      </c>
      <c r="J929" s="9" t="n"/>
      <c r="K929" s="9" t="n"/>
      <c r="L929" s="9" t="n"/>
    </row>
    <row r="930">
      <c r="A930" s="15" t="n"/>
      <c r="B930" s="9" t="n"/>
      <c r="C930" s="9" t="n"/>
      <c r="D930" s="17" t="n"/>
      <c r="E930" s="17" t="n"/>
      <c r="F930" s="10">
        <f>IF(OR($D930="",$E930=""),"",ROUND(MOD($E930-$D930,1)*24,2))</f>
        <v/>
      </c>
      <c r="G930" s="9" t="n"/>
      <c r="H930" s="10" t="n"/>
      <c r="I930" s="10">
        <f>IF($G930="Approved",IF($H930="",IF($F930="",0,$F930),$H930),0)</f>
        <v/>
      </c>
      <c r="J930" s="9" t="n"/>
      <c r="K930" s="9" t="n"/>
      <c r="L930" s="9" t="n"/>
    </row>
    <row r="931">
      <c r="A931" s="15" t="n"/>
      <c r="B931" s="9" t="n"/>
      <c r="C931" s="9" t="n"/>
      <c r="D931" s="17" t="n"/>
      <c r="E931" s="17" t="n"/>
      <c r="F931" s="10">
        <f>IF(OR($D931="",$E931=""),"",ROUND(MOD($E931-$D931,1)*24,2))</f>
        <v/>
      </c>
      <c r="G931" s="9" t="n"/>
      <c r="H931" s="10" t="n"/>
      <c r="I931" s="10">
        <f>IF($G931="Approved",IF($H931="",IF($F931="",0,$F931),$H931),0)</f>
        <v/>
      </c>
      <c r="J931" s="9" t="n"/>
      <c r="K931" s="9" t="n"/>
      <c r="L931" s="9" t="n"/>
    </row>
    <row r="932">
      <c r="A932" s="15" t="n"/>
      <c r="B932" s="9" t="n"/>
      <c r="C932" s="9" t="n"/>
      <c r="D932" s="17" t="n"/>
      <c r="E932" s="17" t="n"/>
      <c r="F932" s="10">
        <f>IF(OR($D932="",$E932=""),"",ROUND(MOD($E932-$D932,1)*24,2))</f>
        <v/>
      </c>
      <c r="G932" s="9" t="n"/>
      <c r="H932" s="10" t="n"/>
      <c r="I932" s="10">
        <f>IF($G932="Approved",IF($H932="",IF($F932="",0,$F932),$H932),0)</f>
        <v/>
      </c>
      <c r="J932" s="9" t="n"/>
      <c r="K932" s="9" t="n"/>
      <c r="L932" s="9" t="n"/>
    </row>
    <row r="933">
      <c r="A933" s="15" t="n"/>
      <c r="B933" s="9" t="n"/>
      <c r="C933" s="9" t="n"/>
      <c r="D933" s="17" t="n"/>
      <c r="E933" s="17" t="n"/>
      <c r="F933" s="10">
        <f>IF(OR($D933="",$E933=""),"",ROUND(MOD($E933-$D933,1)*24,2))</f>
        <v/>
      </c>
      <c r="G933" s="9" t="n"/>
      <c r="H933" s="10" t="n"/>
      <c r="I933" s="10">
        <f>IF($G933="Approved",IF($H933="",IF($F933="",0,$F933),$H933),0)</f>
        <v/>
      </c>
      <c r="J933" s="9" t="n"/>
      <c r="K933" s="9" t="n"/>
      <c r="L933" s="9" t="n"/>
    </row>
    <row r="934">
      <c r="A934" s="15" t="n"/>
      <c r="B934" s="9" t="n"/>
      <c r="C934" s="9" t="n"/>
      <c r="D934" s="17" t="n"/>
      <c r="E934" s="17" t="n"/>
      <c r="F934" s="10">
        <f>IF(OR($D934="",$E934=""),"",ROUND(MOD($E934-$D934,1)*24,2))</f>
        <v/>
      </c>
      <c r="G934" s="9" t="n"/>
      <c r="H934" s="10" t="n"/>
      <c r="I934" s="10">
        <f>IF($G934="Approved",IF($H934="",IF($F934="",0,$F934),$H934),0)</f>
        <v/>
      </c>
      <c r="J934" s="9" t="n"/>
      <c r="K934" s="9" t="n"/>
      <c r="L934" s="9" t="n"/>
    </row>
    <row r="935">
      <c r="A935" s="15" t="n"/>
      <c r="B935" s="9" t="n"/>
      <c r="C935" s="9" t="n"/>
      <c r="D935" s="17" t="n"/>
      <c r="E935" s="17" t="n"/>
      <c r="F935" s="10">
        <f>IF(OR($D935="",$E935=""),"",ROUND(MOD($E935-$D935,1)*24,2))</f>
        <v/>
      </c>
      <c r="G935" s="9" t="n"/>
      <c r="H935" s="10" t="n"/>
      <c r="I935" s="10">
        <f>IF($G935="Approved",IF($H935="",IF($F935="",0,$F935),$H935),0)</f>
        <v/>
      </c>
      <c r="J935" s="9" t="n"/>
      <c r="K935" s="9" t="n"/>
      <c r="L935" s="9" t="n"/>
    </row>
    <row r="936">
      <c r="A936" s="15" t="n"/>
      <c r="B936" s="9" t="n"/>
      <c r="C936" s="9" t="n"/>
      <c r="D936" s="17" t="n"/>
      <c r="E936" s="17" t="n"/>
      <c r="F936" s="10">
        <f>IF(OR($D936="",$E936=""),"",ROUND(MOD($E936-$D936,1)*24,2))</f>
        <v/>
      </c>
      <c r="G936" s="9" t="n"/>
      <c r="H936" s="10" t="n"/>
      <c r="I936" s="10">
        <f>IF($G936="Approved",IF($H936="",IF($F936="",0,$F936),$H936),0)</f>
        <v/>
      </c>
      <c r="J936" s="9" t="n"/>
      <c r="K936" s="9" t="n"/>
      <c r="L936" s="9" t="n"/>
    </row>
    <row r="937">
      <c r="A937" s="15" t="n"/>
      <c r="B937" s="9" t="n"/>
      <c r="C937" s="9" t="n"/>
      <c r="D937" s="17" t="n"/>
      <c r="E937" s="17" t="n"/>
      <c r="F937" s="10">
        <f>IF(OR($D937="",$E937=""),"",ROUND(MOD($E937-$D937,1)*24,2))</f>
        <v/>
      </c>
      <c r="G937" s="9" t="n"/>
      <c r="H937" s="10" t="n"/>
      <c r="I937" s="10">
        <f>IF($G937="Approved",IF($H937="",IF($F937="",0,$F937),$H937),0)</f>
        <v/>
      </c>
      <c r="J937" s="9" t="n"/>
      <c r="K937" s="9" t="n"/>
      <c r="L937" s="9" t="n"/>
    </row>
    <row r="938">
      <c r="A938" s="15" t="n"/>
      <c r="B938" s="9" t="n"/>
      <c r="C938" s="9" t="n"/>
      <c r="D938" s="17" t="n"/>
      <c r="E938" s="17" t="n"/>
      <c r="F938" s="10">
        <f>IF(OR($D938="",$E938=""),"",ROUND(MOD($E938-$D938,1)*24,2))</f>
        <v/>
      </c>
      <c r="G938" s="9" t="n"/>
      <c r="H938" s="10" t="n"/>
      <c r="I938" s="10">
        <f>IF($G938="Approved",IF($H938="",IF($F938="",0,$F938),$H938),0)</f>
        <v/>
      </c>
      <c r="J938" s="9" t="n"/>
      <c r="K938" s="9" t="n"/>
      <c r="L938" s="9" t="n"/>
    </row>
    <row r="939">
      <c r="A939" s="15" t="n"/>
      <c r="B939" s="9" t="n"/>
      <c r="C939" s="9" t="n"/>
      <c r="D939" s="17" t="n"/>
      <c r="E939" s="17" t="n"/>
      <c r="F939" s="10">
        <f>IF(OR($D939="",$E939=""),"",ROUND(MOD($E939-$D939,1)*24,2))</f>
        <v/>
      </c>
      <c r="G939" s="9" t="n"/>
      <c r="H939" s="10" t="n"/>
      <c r="I939" s="10">
        <f>IF($G939="Approved",IF($H939="",IF($F939="",0,$F939),$H939),0)</f>
        <v/>
      </c>
      <c r="J939" s="9" t="n"/>
      <c r="K939" s="9" t="n"/>
      <c r="L939" s="9" t="n"/>
    </row>
    <row r="940">
      <c r="A940" s="15" t="n"/>
      <c r="B940" s="9" t="n"/>
      <c r="C940" s="9" t="n"/>
      <c r="D940" s="17" t="n"/>
      <c r="E940" s="17" t="n"/>
      <c r="F940" s="10">
        <f>IF(OR($D940="",$E940=""),"",ROUND(MOD($E940-$D940,1)*24,2))</f>
        <v/>
      </c>
      <c r="G940" s="9" t="n"/>
      <c r="H940" s="10" t="n"/>
      <c r="I940" s="10">
        <f>IF($G940="Approved",IF($H940="",IF($F940="",0,$F940),$H940),0)</f>
        <v/>
      </c>
      <c r="J940" s="9" t="n"/>
      <c r="K940" s="9" t="n"/>
      <c r="L940" s="9" t="n"/>
    </row>
    <row r="941">
      <c r="A941" s="15" t="n"/>
      <c r="B941" s="9" t="n"/>
      <c r="C941" s="9" t="n"/>
      <c r="D941" s="17" t="n"/>
      <c r="E941" s="17" t="n"/>
      <c r="F941" s="10">
        <f>IF(OR($D941="",$E941=""),"",ROUND(MOD($E941-$D941,1)*24,2))</f>
        <v/>
      </c>
      <c r="G941" s="9" t="n"/>
      <c r="H941" s="10" t="n"/>
      <c r="I941" s="10">
        <f>IF($G941="Approved",IF($H941="",IF($F941="",0,$F941),$H941),0)</f>
        <v/>
      </c>
      <c r="J941" s="9" t="n"/>
      <c r="K941" s="9" t="n"/>
      <c r="L941" s="9" t="n"/>
    </row>
    <row r="942">
      <c r="A942" s="15" t="n"/>
      <c r="B942" s="9" t="n"/>
      <c r="C942" s="9" t="n"/>
      <c r="D942" s="17" t="n"/>
      <c r="E942" s="17" t="n"/>
      <c r="F942" s="10">
        <f>IF(OR($D942="",$E942=""),"",ROUND(MOD($E942-$D942,1)*24,2))</f>
        <v/>
      </c>
      <c r="G942" s="9" t="n"/>
      <c r="H942" s="10" t="n"/>
      <c r="I942" s="10">
        <f>IF($G942="Approved",IF($H942="",IF($F942="",0,$F942),$H942),0)</f>
        <v/>
      </c>
      <c r="J942" s="9" t="n"/>
      <c r="K942" s="9" t="n"/>
      <c r="L942" s="9" t="n"/>
    </row>
    <row r="943">
      <c r="A943" s="15" t="n"/>
      <c r="B943" s="9" t="n"/>
      <c r="C943" s="9" t="n"/>
      <c r="D943" s="17" t="n"/>
      <c r="E943" s="17" t="n"/>
      <c r="F943" s="10">
        <f>IF(OR($D943="",$E943=""),"",ROUND(MOD($E943-$D943,1)*24,2))</f>
        <v/>
      </c>
      <c r="G943" s="9" t="n"/>
      <c r="H943" s="10" t="n"/>
      <c r="I943" s="10">
        <f>IF($G943="Approved",IF($H943="",IF($F943="",0,$F943),$H943),0)</f>
        <v/>
      </c>
      <c r="J943" s="9" t="n"/>
      <c r="K943" s="9" t="n"/>
      <c r="L943" s="9" t="n"/>
    </row>
    <row r="944">
      <c r="A944" s="15" t="n"/>
      <c r="B944" s="9" t="n"/>
      <c r="C944" s="9" t="n"/>
      <c r="D944" s="17" t="n"/>
      <c r="E944" s="17" t="n"/>
      <c r="F944" s="10">
        <f>IF(OR($D944="",$E944=""),"",ROUND(MOD($E944-$D944,1)*24,2))</f>
        <v/>
      </c>
      <c r="G944" s="9" t="n"/>
      <c r="H944" s="10" t="n"/>
      <c r="I944" s="10">
        <f>IF($G944="Approved",IF($H944="",IF($F944="",0,$F944),$H944),0)</f>
        <v/>
      </c>
      <c r="J944" s="9" t="n"/>
      <c r="K944" s="9" t="n"/>
      <c r="L944" s="9" t="n"/>
    </row>
    <row r="945">
      <c r="A945" s="15" t="n"/>
      <c r="B945" s="9" t="n"/>
      <c r="C945" s="9" t="n"/>
      <c r="D945" s="17" t="n"/>
      <c r="E945" s="17" t="n"/>
      <c r="F945" s="10">
        <f>IF(OR($D945="",$E945=""),"",ROUND(MOD($E945-$D945,1)*24,2))</f>
        <v/>
      </c>
      <c r="G945" s="9" t="n"/>
      <c r="H945" s="10" t="n"/>
      <c r="I945" s="10">
        <f>IF($G945="Approved",IF($H945="",IF($F945="",0,$F945),$H945),0)</f>
        <v/>
      </c>
      <c r="J945" s="9" t="n"/>
      <c r="K945" s="9" t="n"/>
      <c r="L945" s="9" t="n"/>
    </row>
    <row r="946">
      <c r="A946" s="15" t="n"/>
      <c r="B946" s="9" t="n"/>
      <c r="C946" s="9" t="n"/>
      <c r="D946" s="17" t="n"/>
      <c r="E946" s="17" t="n"/>
      <c r="F946" s="10">
        <f>IF(OR($D946="",$E946=""),"",ROUND(MOD($E946-$D946,1)*24,2))</f>
        <v/>
      </c>
      <c r="G946" s="9" t="n"/>
      <c r="H946" s="10" t="n"/>
      <c r="I946" s="10">
        <f>IF($G946="Approved",IF($H946="",IF($F946="",0,$F946),$H946),0)</f>
        <v/>
      </c>
      <c r="J946" s="9" t="n"/>
      <c r="K946" s="9" t="n"/>
      <c r="L946" s="9" t="n"/>
    </row>
    <row r="947">
      <c r="A947" s="15" t="n"/>
      <c r="B947" s="9" t="n"/>
      <c r="C947" s="9" t="n"/>
      <c r="D947" s="17" t="n"/>
      <c r="E947" s="17" t="n"/>
      <c r="F947" s="10">
        <f>IF(OR($D947="",$E947=""),"",ROUND(MOD($E947-$D947,1)*24,2))</f>
        <v/>
      </c>
      <c r="G947" s="9" t="n"/>
      <c r="H947" s="10" t="n"/>
      <c r="I947" s="10">
        <f>IF($G947="Approved",IF($H947="",IF($F947="",0,$F947),$H947),0)</f>
        <v/>
      </c>
      <c r="J947" s="9" t="n"/>
      <c r="K947" s="9" t="n"/>
      <c r="L947" s="9" t="n"/>
    </row>
    <row r="948">
      <c r="A948" s="15" t="n"/>
      <c r="B948" s="9" t="n"/>
      <c r="C948" s="9" t="n"/>
      <c r="D948" s="17" t="n"/>
      <c r="E948" s="17" t="n"/>
      <c r="F948" s="10">
        <f>IF(OR($D948="",$E948=""),"",ROUND(MOD($E948-$D948,1)*24,2))</f>
        <v/>
      </c>
      <c r="G948" s="9" t="n"/>
      <c r="H948" s="10" t="n"/>
      <c r="I948" s="10">
        <f>IF($G948="Approved",IF($H948="",IF($F948="",0,$F948),$H948),0)</f>
        <v/>
      </c>
      <c r="J948" s="9" t="n"/>
      <c r="K948" s="9" t="n"/>
      <c r="L948" s="9" t="n"/>
    </row>
    <row r="949">
      <c r="A949" s="15" t="n"/>
      <c r="B949" s="9" t="n"/>
      <c r="C949" s="9" t="n"/>
      <c r="D949" s="17" t="n"/>
      <c r="E949" s="17" t="n"/>
      <c r="F949" s="10">
        <f>IF(OR($D949="",$E949=""),"",ROUND(MOD($E949-$D949,1)*24,2))</f>
        <v/>
      </c>
      <c r="G949" s="9" t="n"/>
      <c r="H949" s="10" t="n"/>
      <c r="I949" s="10">
        <f>IF($G949="Approved",IF($H949="",IF($F949="",0,$F949),$H949),0)</f>
        <v/>
      </c>
      <c r="J949" s="9" t="n"/>
      <c r="K949" s="9" t="n"/>
      <c r="L949" s="9" t="n"/>
    </row>
    <row r="950">
      <c r="A950" s="15" t="n"/>
      <c r="B950" s="9" t="n"/>
      <c r="C950" s="9" t="n"/>
      <c r="D950" s="17" t="n"/>
      <c r="E950" s="17" t="n"/>
      <c r="F950" s="10">
        <f>IF(OR($D950="",$E950=""),"",ROUND(MOD($E950-$D950,1)*24,2))</f>
        <v/>
      </c>
      <c r="G950" s="9" t="n"/>
      <c r="H950" s="10" t="n"/>
      <c r="I950" s="10">
        <f>IF($G950="Approved",IF($H950="",IF($F950="",0,$F950),$H950),0)</f>
        <v/>
      </c>
      <c r="J950" s="9" t="n"/>
      <c r="K950" s="9" t="n"/>
      <c r="L950" s="9" t="n"/>
    </row>
    <row r="951">
      <c r="A951" s="15" t="n"/>
      <c r="B951" s="9" t="n"/>
      <c r="C951" s="9" t="n"/>
      <c r="D951" s="17" t="n"/>
      <c r="E951" s="17" t="n"/>
      <c r="F951" s="10">
        <f>IF(OR($D951="",$E951=""),"",ROUND(MOD($E951-$D951,1)*24,2))</f>
        <v/>
      </c>
      <c r="G951" s="9" t="n"/>
      <c r="H951" s="10" t="n"/>
      <c r="I951" s="10">
        <f>IF($G951="Approved",IF($H951="",IF($F951="",0,$F951),$H951),0)</f>
        <v/>
      </c>
      <c r="J951" s="9" t="n"/>
      <c r="K951" s="9" t="n"/>
      <c r="L951" s="9" t="n"/>
    </row>
    <row r="952">
      <c r="A952" s="15" t="n"/>
      <c r="B952" s="9" t="n"/>
      <c r="C952" s="9" t="n"/>
      <c r="D952" s="17" t="n"/>
      <c r="E952" s="17" t="n"/>
      <c r="F952" s="10">
        <f>IF(OR($D952="",$E952=""),"",ROUND(MOD($E952-$D952,1)*24,2))</f>
        <v/>
      </c>
      <c r="G952" s="9" t="n"/>
      <c r="H952" s="10" t="n"/>
      <c r="I952" s="10">
        <f>IF($G952="Approved",IF($H952="",IF($F952="",0,$F952),$H952),0)</f>
        <v/>
      </c>
      <c r="J952" s="9" t="n"/>
      <c r="K952" s="9" t="n"/>
      <c r="L952" s="9" t="n"/>
    </row>
    <row r="953">
      <c r="A953" s="15" t="n"/>
      <c r="B953" s="9" t="n"/>
      <c r="C953" s="9" t="n"/>
      <c r="D953" s="17" t="n"/>
      <c r="E953" s="17" t="n"/>
      <c r="F953" s="10">
        <f>IF(OR($D953="",$E953=""),"",ROUND(MOD($E953-$D953,1)*24,2))</f>
        <v/>
      </c>
      <c r="G953" s="9" t="n"/>
      <c r="H953" s="10" t="n"/>
      <c r="I953" s="10">
        <f>IF($G953="Approved",IF($H953="",IF($F953="",0,$F953),$H953),0)</f>
        <v/>
      </c>
      <c r="J953" s="9" t="n"/>
      <c r="K953" s="9" t="n"/>
      <c r="L953" s="9" t="n"/>
    </row>
    <row r="954">
      <c r="A954" s="15" t="n"/>
      <c r="B954" s="9" t="n"/>
      <c r="C954" s="9" t="n"/>
      <c r="D954" s="17" t="n"/>
      <c r="E954" s="17" t="n"/>
      <c r="F954" s="10">
        <f>IF(OR($D954="",$E954=""),"",ROUND(MOD($E954-$D954,1)*24,2))</f>
        <v/>
      </c>
      <c r="G954" s="9" t="n"/>
      <c r="H954" s="10" t="n"/>
      <c r="I954" s="10">
        <f>IF($G954="Approved",IF($H954="",IF($F954="",0,$F954),$H954),0)</f>
        <v/>
      </c>
      <c r="J954" s="9" t="n"/>
      <c r="K954" s="9" t="n"/>
      <c r="L954" s="9" t="n"/>
    </row>
    <row r="955">
      <c r="A955" s="15" t="n"/>
      <c r="B955" s="9" t="n"/>
      <c r="C955" s="9" t="n"/>
      <c r="D955" s="17" t="n"/>
      <c r="E955" s="17" t="n"/>
      <c r="F955" s="10">
        <f>IF(OR($D955="",$E955=""),"",ROUND(MOD($E955-$D955,1)*24,2))</f>
        <v/>
      </c>
      <c r="G955" s="9" t="n"/>
      <c r="H955" s="10" t="n"/>
      <c r="I955" s="10">
        <f>IF($G955="Approved",IF($H955="",IF($F955="",0,$F955),$H955),0)</f>
        <v/>
      </c>
      <c r="J955" s="9" t="n"/>
      <c r="K955" s="9" t="n"/>
      <c r="L955" s="9" t="n"/>
    </row>
    <row r="956">
      <c r="A956" s="15" t="n"/>
      <c r="B956" s="9" t="n"/>
      <c r="C956" s="9" t="n"/>
      <c r="D956" s="17" t="n"/>
      <c r="E956" s="17" t="n"/>
      <c r="F956" s="10">
        <f>IF(OR($D956="",$E956=""),"",ROUND(MOD($E956-$D956,1)*24,2))</f>
        <v/>
      </c>
      <c r="G956" s="9" t="n"/>
      <c r="H956" s="10" t="n"/>
      <c r="I956" s="10">
        <f>IF($G956="Approved",IF($H956="",IF($F956="",0,$F956),$H956),0)</f>
        <v/>
      </c>
      <c r="J956" s="9" t="n"/>
      <c r="K956" s="9" t="n"/>
      <c r="L956" s="9" t="n"/>
    </row>
    <row r="957">
      <c r="A957" s="15" t="n"/>
      <c r="B957" s="9" t="n"/>
      <c r="C957" s="9" t="n"/>
      <c r="D957" s="17" t="n"/>
      <c r="E957" s="17" t="n"/>
      <c r="F957" s="10">
        <f>IF(OR($D957="",$E957=""),"",ROUND(MOD($E957-$D957,1)*24,2))</f>
        <v/>
      </c>
      <c r="G957" s="9" t="n"/>
      <c r="H957" s="10" t="n"/>
      <c r="I957" s="10">
        <f>IF($G957="Approved",IF($H957="",IF($F957="",0,$F957),$H957),0)</f>
        <v/>
      </c>
      <c r="J957" s="9" t="n"/>
      <c r="K957" s="9" t="n"/>
      <c r="L957" s="9" t="n"/>
    </row>
    <row r="958">
      <c r="A958" s="15" t="n"/>
      <c r="B958" s="9" t="n"/>
      <c r="C958" s="9" t="n"/>
      <c r="D958" s="17" t="n"/>
      <c r="E958" s="17" t="n"/>
      <c r="F958" s="10">
        <f>IF(OR($D958="",$E958=""),"",ROUND(MOD($E958-$D958,1)*24,2))</f>
        <v/>
      </c>
      <c r="G958" s="9" t="n"/>
      <c r="H958" s="10" t="n"/>
      <c r="I958" s="10">
        <f>IF($G958="Approved",IF($H958="",IF($F958="",0,$F958),$H958),0)</f>
        <v/>
      </c>
      <c r="J958" s="9" t="n"/>
      <c r="K958" s="9" t="n"/>
      <c r="L958" s="9" t="n"/>
    </row>
    <row r="959">
      <c r="A959" s="15" t="n"/>
      <c r="B959" s="9" t="n"/>
      <c r="C959" s="9" t="n"/>
      <c r="D959" s="17" t="n"/>
      <c r="E959" s="17" t="n"/>
      <c r="F959" s="10">
        <f>IF(OR($D959="",$E959=""),"",ROUND(MOD($E959-$D959,1)*24,2))</f>
        <v/>
      </c>
      <c r="G959" s="9" t="n"/>
      <c r="H959" s="10" t="n"/>
      <c r="I959" s="10">
        <f>IF($G959="Approved",IF($H959="",IF($F959="",0,$F959),$H959),0)</f>
        <v/>
      </c>
      <c r="J959" s="9" t="n"/>
      <c r="K959" s="9" t="n"/>
      <c r="L959" s="9" t="n"/>
    </row>
    <row r="960">
      <c r="A960" s="15" t="n"/>
      <c r="B960" s="9" t="n"/>
      <c r="C960" s="9" t="n"/>
      <c r="D960" s="17" t="n"/>
      <c r="E960" s="17" t="n"/>
      <c r="F960" s="10">
        <f>IF(OR($D960="",$E960=""),"",ROUND(MOD($E960-$D960,1)*24,2))</f>
        <v/>
      </c>
      <c r="G960" s="9" t="n"/>
      <c r="H960" s="10" t="n"/>
      <c r="I960" s="10">
        <f>IF($G960="Approved",IF($H960="",IF($F960="",0,$F960),$H960),0)</f>
        <v/>
      </c>
      <c r="J960" s="9" t="n"/>
      <c r="K960" s="9" t="n"/>
      <c r="L960" s="9" t="n"/>
    </row>
    <row r="961">
      <c r="A961" s="15" t="n"/>
      <c r="B961" s="9" t="n"/>
      <c r="C961" s="9" t="n"/>
      <c r="D961" s="17" t="n"/>
      <c r="E961" s="17" t="n"/>
      <c r="F961" s="10">
        <f>IF(OR($D961="",$E961=""),"",ROUND(MOD($E961-$D961,1)*24,2))</f>
        <v/>
      </c>
      <c r="G961" s="9" t="n"/>
      <c r="H961" s="10" t="n"/>
      <c r="I961" s="10">
        <f>IF($G961="Approved",IF($H961="",IF($F961="",0,$F961),$H961),0)</f>
        <v/>
      </c>
      <c r="J961" s="9" t="n"/>
      <c r="K961" s="9" t="n"/>
      <c r="L961" s="9" t="n"/>
    </row>
    <row r="962">
      <c r="A962" s="15" t="n"/>
      <c r="B962" s="9" t="n"/>
      <c r="C962" s="9" t="n"/>
      <c r="D962" s="17" t="n"/>
      <c r="E962" s="17" t="n"/>
      <c r="F962" s="10">
        <f>IF(OR($D962="",$E962=""),"",ROUND(MOD($E962-$D962,1)*24,2))</f>
        <v/>
      </c>
      <c r="G962" s="9" t="n"/>
      <c r="H962" s="10" t="n"/>
      <c r="I962" s="10">
        <f>IF($G962="Approved",IF($H962="",IF($F962="",0,$F962),$H962),0)</f>
        <v/>
      </c>
      <c r="J962" s="9" t="n"/>
      <c r="K962" s="9" t="n"/>
      <c r="L962" s="9" t="n"/>
    </row>
    <row r="963">
      <c r="A963" s="15" t="n"/>
      <c r="B963" s="9" t="n"/>
      <c r="C963" s="9" t="n"/>
      <c r="D963" s="17" t="n"/>
      <c r="E963" s="17" t="n"/>
      <c r="F963" s="10">
        <f>IF(OR($D963="",$E963=""),"",ROUND(MOD($E963-$D963,1)*24,2))</f>
        <v/>
      </c>
      <c r="G963" s="9" t="n"/>
      <c r="H963" s="10" t="n"/>
      <c r="I963" s="10">
        <f>IF($G963="Approved",IF($H963="",IF($F963="",0,$F963),$H963),0)</f>
        <v/>
      </c>
      <c r="J963" s="9" t="n"/>
      <c r="K963" s="9" t="n"/>
      <c r="L963" s="9" t="n"/>
    </row>
    <row r="964">
      <c r="A964" s="15" t="n"/>
      <c r="B964" s="9" t="n"/>
      <c r="C964" s="9" t="n"/>
      <c r="D964" s="17" t="n"/>
      <c r="E964" s="17" t="n"/>
      <c r="F964" s="10">
        <f>IF(OR($D964="",$E964=""),"",ROUND(MOD($E964-$D964,1)*24,2))</f>
        <v/>
      </c>
      <c r="G964" s="9" t="n"/>
      <c r="H964" s="10" t="n"/>
      <c r="I964" s="10">
        <f>IF($G964="Approved",IF($H964="",IF($F964="",0,$F964),$H964),0)</f>
        <v/>
      </c>
      <c r="J964" s="9" t="n"/>
      <c r="K964" s="9" t="n"/>
      <c r="L964" s="9" t="n"/>
    </row>
    <row r="965">
      <c r="A965" s="15" t="n"/>
      <c r="B965" s="9" t="n"/>
      <c r="C965" s="9" t="n"/>
      <c r="D965" s="17" t="n"/>
      <c r="E965" s="17" t="n"/>
      <c r="F965" s="10">
        <f>IF(OR($D965="",$E965=""),"",ROUND(MOD($E965-$D965,1)*24,2))</f>
        <v/>
      </c>
      <c r="G965" s="9" t="n"/>
      <c r="H965" s="10" t="n"/>
      <c r="I965" s="10">
        <f>IF($G965="Approved",IF($H965="",IF($F965="",0,$F965),$H965),0)</f>
        <v/>
      </c>
      <c r="J965" s="9" t="n"/>
      <c r="K965" s="9" t="n"/>
      <c r="L965" s="9" t="n"/>
    </row>
    <row r="966">
      <c r="A966" s="15" t="n"/>
      <c r="B966" s="9" t="n"/>
      <c r="C966" s="9" t="n"/>
      <c r="D966" s="17" t="n"/>
      <c r="E966" s="17" t="n"/>
      <c r="F966" s="10">
        <f>IF(OR($D966="",$E966=""),"",ROUND(MOD($E966-$D966,1)*24,2))</f>
        <v/>
      </c>
      <c r="G966" s="9" t="n"/>
      <c r="H966" s="10" t="n"/>
      <c r="I966" s="10">
        <f>IF($G966="Approved",IF($H966="",IF($F966="",0,$F966),$H966),0)</f>
        <v/>
      </c>
      <c r="J966" s="9" t="n"/>
      <c r="K966" s="9" t="n"/>
      <c r="L966" s="9" t="n"/>
    </row>
    <row r="967">
      <c r="A967" s="15" t="n"/>
      <c r="B967" s="9" t="n"/>
      <c r="C967" s="9" t="n"/>
      <c r="D967" s="17" t="n"/>
      <c r="E967" s="17" t="n"/>
      <c r="F967" s="10">
        <f>IF(OR($D967="",$E967=""),"",ROUND(MOD($E967-$D967,1)*24,2))</f>
        <v/>
      </c>
      <c r="G967" s="9" t="n"/>
      <c r="H967" s="10" t="n"/>
      <c r="I967" s="10">
        <f>IF($G967="Approved",IF($H967="",IF($F967="",0,$F967),$H967),0)</f>
        <v/>
      </c>
      <c r="J967" s="9" t="n"/>
      <c r="K967" s="9" t="n"/>
      <c r="L967" s="9" t="n"/>
    </row>
    <row r="968">
      <c r="A968" s="15" t="n"/>
      <c r="B968" s="9" t="n"/>
      <c r="C968" s="9" t="n"/>
      <c r="D968" s="17" t="n"/>
      <c r="E968" s="17" t="n"/>
      <c r="F968" s="10">
        <f>IF(OR($D968="",$E968=""),"",ROUND(MOD($E968-$D968,1)*24,2))</f>
        <v/>
      </c>
      <c r="G968" s="9" t="n"/>
      <c r="H968" s="10" t="n"/>
      <c r="I968" s="10">
        <f>IF($G968="Approved",IF($H968="",IF($F968="",0,$F968),$H968),0)</f>
        <v/>
      </c>
      <c r="J968" s="9" t="n"/>
      <c r="K968" s="9" t="n"/>
      <c r="L968" s="9" t="n"/>
    </row>
    <row r="969">
      <c r="A969" s="15" t="n"/>
      <c r="B969" s="9" t="n"/>
      <c r="C969" s="9" t="n"/>
      <c r="D969" s="17" t="n"/>
      <c r="E969" s="17" t="n"/>
      <c r="F969" s="10">
        <f>IF(OR($D969="",$E969=""),"",ROUND(MOD($E969-$D969,1)*24,2))</f>
        <v/>
      </c>
      <c r="G969" s="9" t="n"/>
      <c r="H969" s="10" t="n"/>
      <c r="I969" s="10">
        <f>IF($G969="Approved",IF($H969="",IF($F969="",0,$F969),$H969),0)</f>
        <v/>
      </c>
      <c r="J969" s="9" t="n"/>
      <c r="K969" s="9" t="n"/>
      <c r="L969" s="9" t="n"/>
    </row>
    <row r="970">
      <c r="A970" s="15" t="n"/>
      <c r="B970" s="9" t="n"/>
      <c r="C970" s="9" t="n"/>
      <c r="D970" s="17" t="n"/>
      <c r="E970" s="17" t="n"/>
      <c r="F970" s="10">
        <f>IF(OR($D970="",$E970=""),"",ROUND(MOD($E970-$D970,1)*24,2))</f>
        <v/>
      </c>
      <c r="G970" s="9" t="n"/>
      <c r="H970" s="10" t="n"/>
      <c r="I970" s="10">
        <f>IF($G970="Approved",IF($H970="",IF($F970="",0,$F970),$H970),0)</f>
        <v/>
      </c>
      <c r="J970" s="9" t="n"/>
      <c r="K970" s="9" t="n"/>
      <c r="L970" s="9" t="n"/>
    </row>
    <row r="971">
      <c r="A971" s="15" t="n"/>
      <c r="B971" s="9" t="n"/>
      <c r="C971" s="9" t="n"/>
      <c r="D971" s="17" t="n"/>
      <c r="E971" s="17" t="n"/>
      <c r="F971" s="10">
        <f>IF(OR($D971="",$E971=""),"",ROUND(MOD($E971-$D971,1)*24,2))</f>
        <v/>
      </c>
      <c r="G971" s="9" t="n"/>
      <c r="H971" s="10" t="n"/>
      <c r="I971" s="10">
        <f>IF($G971="Approved",IF($H971="",IF($F971="",0,$F971),$H971),0)</f>
        <v/>
      </c>
      <c r="J971" s="9" t="n"/>
      <c r="K971" s="9" t="n"/>
      <c r="L971" s="9" t="n"/>
    </row>
    <row r="972">
      <c r="A972" s="15" t="n"/>
      <c r="B972" s="9" t="n"/>
      <c r="C972" s="9" t="n"/>
      <c r="D972" s="17" t="n"/>
      <c r="E972" s="17" t="n"/>
      <c r="F972" s="10">
        <f>IF(OR($D972="",$E972=""),"",ROUND(MOD($E972-$D972,1)*24,2))</f>
        <v/>
      </c>
      <c r="G972" s="9" t="n"/>
      <c r="H972" s="10" t="n"/>
      <c r="I972" s="10">
        <f>IF($G972="Approved",IF($H972="",IF($F972="",0,$F972),$H972),0)</f>
        <v/>
      </c>
      <c r="J972" s="9" t="n"/>
      <c r="K972" s="9" t="n"/>
      <c r="L972" s="9" t="n"/>
    </row>
    <row r="973">
      <c r="A973" s="15" t="n"/>
      <c r="B973" s="9" t="n"/>
      <c r="C973" s="9" t="n"/>
      <c r="D973" s="17" t="n"/>
      <c r="E973" s="17" t="n"/>
      <c r="F973" s="10">
        <f>IF(OR($D973="",$E973=""),"",ROUND(MOD($E973-$D973,1)*24,2))</f>
        <v/>
      </c>
      <c r="G973" s="9" t="n"/>
      <c r="H973" s="10" t="n"/>
      <c r="I973" s="10">
        <f>IF($G973="Approved",IF($H973="",IF($F973="",0,$F973),$H973),0)</f>
        <v/>
      </c>
      <c r="J973" s="9" t="n"/>
      <c r="K973" s="9" t="n"/>
      <c r="L973" s="9" t="n"/>
    </row>
    <row r="974">
      <c r="A974" s="15" t="n"/>
      <c r="B974" s="9" t="n"/>
      <c r="C974" s="9" t="n"/>
      <c r="D974" s="17" t="n"/>
      <c r="E974" s="17" t="n"/>
      <c r="F974" s="10">
        <f>IF(OR($D974="",$E974=""),"",ROUND(MOD($E974-$D974,1)*24,2))</f>
        <v/>
      </c>
      <c r="G974" s="9" t="n"/>
      <c r="H974" s="10" t="n"/>
      <c r="I974" s="10">
        <f>IF($G974="Approved",IF($H974="",IF($F974="",0,$F974),$H974),0)</f>
        <v/>
      </c>
      <c r="J974" s="9" t="n"/>
      <c r="K974" s="9" t="n"/>
      <c r="L974" s="9" t="n"/>
    </row>
    <row r="975">
      <c r="A975" s="15" t="n"/>
      <c r="B975" s="9" t="n"/>
      <c r="C975" s="9" t="n"/>
      <c r="D975" s="17" t="n"/>
      <c r="E975" s="17" t="n"/>
      <c r="F975" s="10">
        <f>IF(OR($D975="",$E975=""),"",ROUND(MOD($E975-$D975,1)*24,2))</f>
        <v/>
      </c>
      <c r="G975" s="9" t="n"/>
      <c r="H975" s="10" t="n"/>
      <c r="I975" s="10">
        <f>IF($G975="Approved",IF($H975="",IF($F975="",0,$F975),$H975),0)</f>
        <v/>
      </c>
      <c r="J975" s="9" t="n"/>
      <c r="K975" s="9" t="n"/>
      <c r="L975" s="9" t="n"/>
    </row>
    <row r="976">
      <c r="A976" s="15" t="n"/>
      <c r="B976" s="9" t="n"/>
      <c r="C976" s="9" t="n"/>
      <c r="D976" s="17" t="n"/>
      <c r="E976" s="17" t="n"/>
      <c r="F976" s="10">
        <f>IF(OR($D976="",$E976=""),"",ROUND(MOD($E976-$D976,1)*24,2))</f>
        <v/>
      </c>
      <c r="G976" s="9" t="n"/>
      <c r="H976" s="10" t="n"/>
      <c r="I976" s="10">
        <f>IF($G976="Approved",IF($H976="",IF($F976="",0,$F976),$H976),0)</f>
        <v/>
      </c>
      <c r="J976" s="9" t="n"/>
      <c r="K976" s="9" t="n"/>
      <c r="L976" s="9" t="n"/>
    </row>
    <row r="977">
      <c r="A977" s="15" t="n"/>
      <c r="B977" s="9" t="n"/>
      <c r="C977" s="9" t="n"/>
      <c r="D977" s="17" t="n"/>
      <c r="E977" s="17" t="n"/>
      <c r="F977" s="10">
        <f>IF(OR($D977="",$E977=""),"",ROUND(MOD($E977-$D977,1)*24,2))</f>
        <v/>
      </c>
      <c r="G977" s="9" t="n"/>
      <c r="H977" s="10" t="n"/>
      <c r="I977" s="10">
        <f>IF($G977="Approved",IF($H977="",IF($F977="",0,$F977),$H977),0)</f>
        <v/>
      </c>
      <c r="J977" s="9" t="n"/>
      <c r="K977" s="9" t="n"/>
      <c r="L977" s="9" t="n"/>
    </row>
    <row r="978">
      <c r="A978" s="15" t="n"/>
      <c r="B978" s="9" t="n"/>
      <c r="C978" s="9" t="n"/>
      <c r="D978" s="17" t="n"/>
      <c r="E978" s="17" t="n"/>
      <c r="F978" s="10">
        <f>IF(OR($D978="",$E978=""),"",ROUND(MOD($E978-$D978,1)*24,2))</f>
        <v/>
      </c>
      <c r="G978" s="9" t="n"/>
      <c r="H978" s="10" t="n"/>
      <c r="I978" s="10">
        <f>IF($G978="Approved",IF($H978="",IF($F978="",0,$F978),$H978),0)</f>
        <v/>
      </c>
      <c r="J978" s="9" t="n"/>
      <c r="K978" s="9" t="n"/>
      <c r="L978" s="9" t="n"/>
    </row>
    <row r="979">
      <c r="A979" s="15" t="n"/>
      <c r="B979" s="9" t="n"/>
      <c r="C979" s="9" t="n"/>
      <c r="D979" s="17" t="n"/>
      <c r="E979" s="17" t="n"/>
      <c r="F979" s="10">
        <f>IF(OR($D979="",$E979=""),"",ROUND(MOD($E979-$D979,1)*24,2))</f>
        <v/>
      </c>
      <c r="G979" s="9" t="n"/>
      <c r="H979" s="10" t="n"/>
      <c r="I979" s="10">
        <f>IF($G979="Approved",IF($H979="",IF($F979="",0,$F979),$H979),0)</f>
        <v/>
      </c>
      <c r="J979" s="9" t="n"/>
      <c r="K979" s="9" t="n"/>
      <c r="L979" s="9" t="n"/>
    </row>
    <row r="980">
      <c r="A980" s="15" t="n"/>
      <c r="B980" s="9" t="n"/>
      <c r="C980" s="9" t="n"/>
      <c r="D980" s="17" t="n"/>
      <c r="E980" s="17" t="n"/>
      <c r="F980" s="10">
        <f>IF(OR($D980="",$E980=""),"",ROUND(MOD($E980-$D980,1)*24,2))</f>
        <v/>
      </c>
      <c r="G980" s="9" t="n"/>
      <c r="H980" s="10" t="n"/>
      <c r="I980" s="10">
        <f>IF($G980="Approved",IF($H980="",IF($F980="",0,$F980),$H980),0)</f>
        <v/>
      </c>
      <c r="J980" s="9" t="n"/>
      <c r="K980" s="9" t="n"/>
      <c r="L980" s="9" t="n"/>
    </row>
    <row r="981">
      <c r="A981" s="15" t="n"/>
      <c r="B981" s="9" t="n"/>
      <c r="C981" s="9" t="n"/>
      <c r="D981" s="17" t="n"/>
      <c r="E981" s="17" t="n"/>
      <c r="F981" s="10">
        <f>IF(OR($D981="",$E981=""),"",ROUND(MOD($E981-$D981,1)*24,2))</f>
        <v/>
      </c>
      <c r="G981" s="9" t="n"/>
      <c r="H981" s="10" t="n"/>
      <c r="I981" s="10">
        <f>IF($G981="Approved",IF($H981="",IF($F981="",0,$F981),$H981),0)</f>
        <v/>
      </c>
      <c r="J981" s="9" t="n"/>
      <c r="K981" s="9" t="n"/>
      <c r="L981" s="9" t="n"/>
    </row>
    <row r="982">
      <c r="A982" s="15" t="n"/>
      <c r="B982" s="9" t="n"/>
      <c r="C982" s="9" t="n"/>
      <c r="D982" s="17" t="n"/>
      <c r="E982" s="17" t="n"/>
      <c r="F982" s="10">
        <f>IF(OR($D982="",$E982=""),"",ROUND(MOD($E982-$D982,1)*24,2))</f>
        <v/>
      </c>
      <c r="G982" s="9" t="n"/>
      <c r="H982" s="10" t="n"/>
      <c r="I982" s="10">
        <f>IF($G982="Approved",IF($H982="",IF($F982="",0,$F982),$H982),0)</f>
        <v/>
      </c>
      <c r="J982" s="9" t="n"/>
      <c r="K982" s="9" t="n"/>
      <c r="L982" s="9" t="n"/>
    </row>
    <row r="983">
      <c r="A983" s="15" t="n"/>
      <c r="B983" s="9" t="n"/>
      <c r="C983" s="9" t="n"/>
      <c r="D983" s="17" t="n"/>
      <c r="E983" s="17" t="n"/>
      <c r="F983" s="10">
        <f>IF(OR($D983="",$E983=""),"",ROUND(MOD($E983-$D983,1)*24,2))</f>
        <v/>
      </c>
      <c r="G983" s="9" t="n"/>
      <c r="H983" s="10" t="n"/>
      <c r="I983" s="10">
        <f>IF($G983="Approved",IF($H983="",IF($F983="",0,$F983),$H983),0)</f>
        <v/>
      </c>
      <c r="J983" s="9" t="n"/>
      <c r="K983" s="9" t="n"/>
      <c r="L983" s="9" t="n"/>
    </row>
    <row r="984">
      <c r="A984" s="15" t="n"/>
      <c r="B984" s="9" t="n"/>
      <c r="C984" s="9" t="n"/>
      <c r="D984" s="17" t="n"/>
      <c r="E984" s="17" t="n"/>
      <c r="F984" s="10">
        <f>IF(OR($D984="",$E984=""),"",ROUND(MOD($E984-$D984,1)*24,2))</f>
        <v/>
      </c>
      <c r="G984" s="9" t="n"/>
      <c r="H984" s="10" t="n"/>
      <c r="I984" s="10">
        <f>IF($G984="Approved",IF($H984="",IF($F984="",0,$F984),$H984),0)</f>
        <v/>
      </c>
      <c r="J984" s="9" t="n"/>
      <c r="K984" s="9" t="n"/>
      <c r="L984" s="9" t="n"/>
    </row>
    <row r="985">
      <c r="A985" s="15" t="n"/>
      <c r="B985" s="9" t="n"/>
      <c r="C985" s="9" t="n"/>
      <c r="D985" s="17" t="n"/>
      <c r="E985" s="17" t="n"/>
      <c r="F985" s="10">
        <f>IF(OR($D985="",$E985=""),"",ROUND(MOD($E985-$D985,1)*24,2))</f>
        <v/>
      </c>
      <c r="G985" s="9" t="n"/>
      <c r="H985" s="10" t="n"/>
      <c r="I985" s="10">
        <f>IF($G985="Approved",IF($H985="",IF($F985="",0,$F985),$H985),0)</f>
        <v/>
      </c>
      <c r="J985" s="9" t="n"/>
      <c r="K985" s="9" t="n"/>
      <c r="L985" s="9" t="n"/>
    </row>
    <row r="986">
      <c r="A986" s="15" t="n"/>
      <c r="B986" s="9" t="n"/>
      <c r="C986" s="9" t="n"/>
      <c r="D986" s="17" t="n"/>
      <c r="E986" s="17" t="n"/>
      <c r="F986" s="10">
        <f>IF(OR($D986="",$E986=""),"",ROUND(MOD($E986-$D986,1)*24,2))</f>
        <v/>
      </c>
      <c r="G986" s="9" t="n"/>
      <c r="H986" s="10" t="n"/>
      <c r="I986" s="10">
        <f>IF($G986="Approved",IF($H986="",IF($F986="",0,$F986),$H986),0)</f>
        <v/>
      </c>
      <c r="J986" s="9" t="n"/>
      <c r="K986" s="9" t="n"/>
      <c r="L986" s="9" t="n"/>
    </row>
    <row r="987">
      <c r="A987" s="15" t="n"/>
      <c r="B987" s="9" t="n"/>
      <c r="C987" s="9" t="n"/>
      <c r="D987" s="17" t="n"/>
      <c r="E987" s="17" t="n"/>
      <c r="F987" s="10">
        <f>IF(OR($D987="",$E987=""),"",ROUND(MOD($E987-$D987,1)*24,2))</f>
        <v/>
      </c>
      <c r="G987" s="9" t="n"/>
      <c r="H987" s="10" t="n"/>
      <c r="I987" s="10">
        <f>IF($G987="Approved",IF($H987="",IF($F987="",0,$F987),$H987),0)</f>
        <v/>
      </c>
      <c r="J987" s="9" t="n"/>
      <c r="K987" s="9" t="n"/>
      <c r="L987" s="9" t="n"/>
    </row>
    <row r="988">
      <c r="A988" s="15" t="n"/>
      <c r="B988" s="9" t="n"/>
      <c r="C988" s="9" t="n"/>
      <c r="D988" s="17" t="n"/>
      <c r="E988" s="17" t="n"/>
      <c r="F988" s="10">
        <f>IF(OR($D988="",$E988=""),"",ROUND(MOD($E988-$D988,1)*24,2))</f>
        <v/>
      </c>
      <c r="G988" s="9" t="n"/>
      <c r="H988" s="10" t="n"/>
      <c r="I988" s="10">
        <f>IF($G988="Approved",IF($H988="",IF($F988="",0,$F988),$H988),0)</f>
        <v/>
      </c>
      <c r="J988" s="9" t="n"/>
      <c r="K988" s="9" t="n"/>
      <c r="L988" s="9" t="n"/>
    </row>
    <row r="989">
      <c r="A989" s="15" t="n"/>
      <c r="B989" s="9" t="n"/>
      <c r="C989" s="9" t="n"/>
      <c r="D989" s="17" t="n"/>
      <c r="E989" s="17" t="n"/>
      <c r="F989" s="10">
        <f>IF(OR($D989="",$E989=""),"",ROUND(MOD($E989-$D989,1)*24,2))</f>
        <v/>
      </c>
      <c r="G989" s="9" t="n"/>
      <c r="H989" s="10" t="n"/>
      <c r="I989" s="10">
        <f>IF($G989="Approved",IF($H989="",IF($F989="",0,$F989),$H989),0)</f>
        <v/>
      </c>
      <c r="J989" s="9" t="n"/>
      <c r="K989" s="9" t="n"/>
      <c r="L989" s="9" t="n"/>
    </row>
    <row r="990">
      <c r="A990" s="15" t="n"/>
      <c r="B990" s="9" t="n"/>
      <c r="C990" s="9" t="n"/>
      <c r="D990" s="17" t="n"/>
      <c r="E990" s="17" t="n"/>
      <c r="F990" s="10">
        <f>IF(OR($D990="",$E990=""),"",ROUND(MOD($E990-$D990,1)*24,2))</f>
        <v/>
      </c>
      <c r="G990" s="9" t="n"/>
      <c r="H990" s="10" t="n"/>
      <c r="I990" s="10">
        <f>IF($G990="Approved",IF($H990="",IF($F990="",0,$F990),$H990),0)</f>
        <v/>
      </c>
      <c r="J990" s="9" t="n"/>
      <c r="K990" s="9" t="n"/>
      <c r="L990" s="9" t="n"/>
    </row>
    <row r="991">
      <c r="A991" s="15" t="n"/>
      <c r="B991" s="9" t="n"/>
      <c r="C991" s="9" t="n"/>
      <c r="D991" s="17" t="n"/>
      <c r="E991" s="17" t="n"/>
      <c r="F991" s="10">
        <f>IF(OR($D991="",$E991=""),"",ROUND(MOD($E991-$D991,1)*24,2))</f>
        <v/>
      </c>
      <c r="G991" s="9" t="n"/>
      <c r="H991" s="10" t="n"/>
      <c r="I991" s="10">
        <f>IF($G991="Approved",IF($H991="",IF($F991="",0,$F991),$H991),0)</f>
        <v/>
      </c>
      <c r="J991" s="9" t="n"/>
      <c r="K991" s="9" t="n"/>
      <c r="L991" s="9" t="n"/>
    </row>
    <row r="992">
      <c r="A992" s="15" t="n"/>
      <c r="B992" s="9" t="n"/>
      <c r="C992" s="9" t="n"/>
      <c r="D992" s="17" t="n"/>
      <c r="E992" s="17" t="n"/>
      <c r="F992" s="10">
        <f>IF(OR($D992="",$E992=""),"",ROUND(MOD($E992-$D992,1)*24,2))</f>
        <v/>
      </c>
      <c r="G992" s="9" t="n"/>
      <c r="H992" s="10" t="n"/>
      <c r="I992" s="10">
        <f>IF($G992="Approved",IF($H992="",IF($F992="",0,$F992),$H992),0)</f>
        <v/>
      </c>
      <c r="J992" s="9" t="n"/>
      <c r="K992" s="9" t="n"/>
      <c r="L992" s="9" t="n"/>
    </row>
    <row r="993">
      <c r="A993" s="15" t="n"/>
      <c r="B993" s="9" t="n"/>
      <c r="C993" s="9" t="n"/>
      <c r="D993" s="17" t="n"/>
      <c r="E993" s="17" t="n"/>
      <c r="F993" s="10">
        <f>IF(OR($D993="",$E993=""),"",ROUND(MOD($E993-$D993,1)*24,2))</f>
        <v/>
      </c>
      <c r="G993" s="9" t="n"/>
      <c r="H993" s="10" t="n"/>
      <c r="I993" s="10">
        <f>IF($G993="Approved",IF($H993="",IF($F993="",0,$F993),$H993),0)</f>
        <v/>
      </c>
      <c r="J993" s="9" t="n"/>
      <c r="K993" s="9" t="n"/>
      <c r="L993" s="9" t="n"/>
    </row>
    <row r="994">
      <c r="A994" s="15" t="n"/>
      <c r="B994" s="9" t="n"/>
      <c r="C994" s="9" t="n"/>
      <c r="D994" s="17" t="n"/>
      <c r="E994" s="17" t="n"/>
      <c r="F994" s="10">
        <f>IF(OR($D994="",$E994=""),"",ROUND(MOD($E994-$D994,1)*24,2))</f>
        <v/>
      </c>
      <c r="G994" s="9" t="n"/>
      <c r="H994" s="10" t="n"/>
      <c r="I994" s="10">
        <f>IF($G994="Approved",IF($H994="",IF($F994="",0,$F994),$H994),0)</f>
        <v/>
      </c>
      <c r="J994" s="9" t="n"/>
      <c r="K994" s="9" t="n"/>
      <c r="L994" s="9" t="n"/>
    </row>
    <row r="995">
      <c r="A995" s="15" t="n"/>
      <c r="B995" s="9" t="n"/>
      <c r="C995" s="9" t="n"/>
      <c r="D995" s="17" t="n"/>
      <c r="E995" s="17" t="n"/>
      <c r="F995" s="10">
        <f>IF(OR($D995="",$E995=""),"",ROUND(MOD($E995-$D995,1)*24,2))</f>
        <v/>
      </c>
      <c r="G995" s="9" t="n"/>
      <c r="H995" s="10" t="n"/>
      <c r="I995" s="10">
        <f>IF($G995="Approved",IF($H995="",IF($F995="",0,$F995),$H995),0)</f>
        <v/>
      </c>
      <c r="J995" s="9" t="n"/>
      <c r="K995" s="9" t="n"/>
      <c r="L995" s="9" t="n"/>
    </row>
    <row r="996">
      <c r="A996" s="15" t="n"/>
      <c r="B996" s="9" t="n"/>
      <c r="C996" s="9" t="n"/>
      <c r="D996" s="17" t="n"/>
      <c r="E996" s="17" t="n"/>
      <c r="F996" s="10">
        <f>IF(OR($D996="",$E996=""),"",ROUND(MOD($E996-$D996,1)*24,2))</f>
        <v/>
      </c>
      <c r="G996" s="9" t="n"/>
      <c r="H996" s="10" t="n"/>
      <c r="I996" s="10">
        <f>IF($G996="Approved",IF($H996="",IF($F996="",0,$F996),$H996),0)</f>
        <v/>
      </c>
      <c r="J996" s="9" t="n"/>
      <c r="K996" s="9" t="n"/>
      <c r="L996" s="9" t="n"/>
    </row>
    <row r="997">
      <c r="A997" s="15" t="n"/>
      <c r="B997" s="9" t="n"/>
      <c r="C997" s="9" t="n"/>
      <c r="D997" s="17" t="n"/>
      <c r="E997" s="17" t="n"/>
      <c r="F997" s="10">
        <f>IF(OR($D997="",$E997=""),"",ROUND(MOD($E997-$D997,1)*24,2))</f>
        <v/>
      </c>
      <c r="G997" s="9" t="n"/>
      <c r="H997" s="10" t="n"/>
      <c r="I997" s="10">
        <f>IF($G997="Approved",IF($H997="",IF($F997="",0,$F997),$H997),0)</f>
        <v/>
      </c>
      <c r="J997" s="9" t="n"/>
      <c r="K997" s="9" t="n"/>
      <c r="L997" s="9" t="n"/>
    </row>
    <row r="998">
      <c r="A998" s="15" t="n"/>
      <c r="B998" s="9" t="n"/>
      <c r="C998" s="9" t="n"/>
      <c r="D998" s="17" t="n"/>
      <c r="E998" s="17" t="n"/>
      <c r="F998" s="10">
        <f>IF(OR($D998="",$E998=""),"",ROUND(MOD($E998-$D998,1)*24,2))</f>
        <v/>
      </c>
      <c r="G998" s="9" t="n"/>
      <c r="H998" s="10" t="n"/>
      <c r="I998" s="10">
        <f>IF($G998="Approved",IF($H998="",IF($F998="",0,$F998),$H998),0)</f>
        <v/>
      </c>
      <c r="J998" s="9" t="n"/>
      <c r="K998" s="9" t="n"/>
      <c r="L998" s="9" t="n"/>
    </row>
    <row r="999">
      <c r="A999" s="15" t="n"/>
      <c r="B999" s="9" t="n"/>
      <c r="C999" s="9" t="n"/>
      <c r="D999" s="17" t="n"/>
      <c r="E999" s="17" t="n"/>
      <c r="F999" s="10">
        <f>IF(OR($D999="",$E999=""),"",ROUND(MOD($E999-$D999,1)*24,2))</f>
        <v/>
      </c>
      <c r="G999" s="9" t="n"/>
      <c r="H999" s="10" t="n"/>
      <c r="I999" s="10">
        <f>IF($G999="Approved",IF($H999="",IF($F999="",0,$F999),$H999),0)</f>
        <v/>
      </c>
      <c r="J999" s="9" t="n"/>
      <c r="K999" s="9" t="n"/>
      <c r="L999" s="9" t="n"/>
    </row>
    <row r="1000">
      <c r="A1000" s="15" t="n"/>
      <c r="B1000" s="9" t="n"/>
      <c r="C1000" s="9" t="n"/>
      <c r="D1000" s="17" t="n"/>
      <c r="E1000" s="17" t="n"/>
      <c r="F1000" s="10">
        <f>IF(OR($D1000="",$E1000=""),"",ROUND(MOD($E1000-$D1000,1)*24,2))</f>
        <v/>
      </c>
      <c r="G1000" s="9" t="n"/>
      <c r="H1000" s="10" t="n"/>
      <c r="I1000" s="10">
        <f>IF($G1000="Approved",IF($H1000="",IF($F1000="",0,$F1000),$H1000),0)</f>
        <v/>
      </c>
      <c r="J1000" s="9" t="n"/>
      <c r="K1000" s="9" t="n"/>
      <c r="L1000" s="9" t="n"/>
    </row>
    <row r="1001">
      <c r="A1001" s="15" t="n"/>
      <c r="B1001" s="9" t="n"/>
      <c r="C1001" s="9" t="n"/>
      <c r="D1001" s="17" t="n"/>
      <c r="E1001" s="17" t="n"/>
      <c r="F1001" s="10">
        <f>IF(OR($D1001="",$E1001=""),"",ROUND(MOD($E1001-$D1001,1)*24,2))</f>
        <v/>
      </c>
      <c r="G1001" s="9" t="n"/>
      <c r="H1001" s="10" t="n"/>
      <c r="I1001" s="10">
        <f>IF($G1001="Approved",IF($H1001="",IF($F1001="",0,$F1001),$H1001),0)</f>
        <v/>
      </c>
      <c r="J1001" s="9" t="n"/>
      <c r="K1001" s="9" t="n"/>
      <c r="L1001" s="9" t="n"/>
    </row>
  </sheetData>
  <conditionalFormatting sqref="G2:G1001">
    <cfRule type="cellIs" priority="1" operator="equal" dxfId="2">
      <formula>"Approved"</formula>
    </cfRule>
    <cfRule type="cellIs" priority="2" operator="equal" dxfId="3">
      <formula>"Sent back"</formula>
    </cfRule>
    <cfRule type="cellIs" priority="3" operator="equal" dxfId="4">
      <formula>"Waiting"</formula>
    </cfRule>
  </conditionalFormatting>
  <dataValidations count="2">
    <dataValidation sqref="G2:G1001" showDropDown="0" showInputMessage="0" showErrorMessage="0" allowBlank="1" type="list">
      <formula1>"Waiting,Approved,Sent back"</formula1>
    </dataValidation>
    <dataValidation sqref="B2:B1001" showDropDown="0" showInputMessage="0" showErrorMessage="0" allowBlank="1" type="list">
      <formula1>=Members!$B$2:$B$301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2F5E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Sign up</t>
        </is>
      </c>
    </row>
    <row r="2">
      <c r="A2" s="2" t="inlineStr">
        <is>
          <t>Fill in the three boxes, then run the Outreach tracker script (or the RunForms macro). Your row moves to Members and this clears.</t>
        </is>
      </c>
    </row>
    <row r="4">
      <c r="A4" s="12" t="inlineStr">
        <is>
          <t>Name</t>
        </is>
      </c>
      <c r="B4" s="13" t="n"/>
    </row>
    <row r="5">
      <c r="A5" s="12" t="inlineStr">
        <is>
          <t>Email</t>
        </is>
      </c>
      <c r="B5" s="13" t="n"/>
    </row>
    <row r="6">
      <c r="A6" s="12" t="inlineStr">
        <is>
          <t>Grade</t>
        </is>
      </c>
      <c r="B6" s="13" t="n"/>
    </row>
    <row r="8">
      <c r="A8" s="2">
        <f>"Every member needs "&amp;RequiredHours&amp;" approved hours in "&amp;SemesterName&amp;"."</f>
        <v/>
      </c>
    </row>
  </sheetData>
  <dataValidations count="1">
    <dataValidation sqref="B6" showDropDown="0" showInputMessage="0" showErrorMessage="0" allowBlank="1" type="list">
      <formula1>"9,10,11,12"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2F5E"/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4" customWidth="1" min="2" max="2"/>
  </cols>
  <sheetData>
    <row r="1">
      <c r="A1" s="1" t="inlineStr">
        <is>
          <t>Log hours</t>
        </is>
      </c>
    </row>
    <row r="2">
      <c r="A2" s="2" t="inlineStr">
        <is>
          <t>One shift at a time. Fill it in, run the script (or RunForms macro), and it lands on Sessions as Waiting.</t>
        </is>
      </c>
    </row>
    <row r="4">
      <c r="A4" s="12" t="inlineStr">
        <is>
          <t>Your email</t>
        </is>
      </c>
      <c r="B4" s="13" t="n"/>
    </row>
    <row r="5">
      <c r="A5" s="12" t="inlineStr">
        <is>
          <t>Date</t>
        </is>
      </c>
      <c r="B5" s="14" t="n"/>
    </row>
    <row r="6">
      <c r="A6" s="12" t="inlineStr">
        <is>
          <t>Event</t>
        </is>
      </c>
      <c r="B6" s="13" t="n"/>
    </row>
    <row r="7">
      <c r="A7" s="12" t="inlineStr">
        <is>
          <t>Clock in</t>
        </is>
      </c>
      <c r="B7" s="18" t="n"/>
    </row>
    <row r="8">
      <c r="A8" s="12" t="inlineStr">
        <is>
          <t>Clock out</t>
        </is>
      </c>
      <c r="B8" s="18" t="n"/>
    </row>
    <row r="9">
      <c r="A9" s="12" t="inlineStr">
        <is>
          <t>Clock-in photo link</t>
        </is>
      </c>
      <c r="B9" s="13" t="n"/>
    </row>
    <row r="10">
      <c r="A10" s="12" t="inlineStr">
        <is>
          <t>Clock-out photo link</t>
        </is>
      </c>
      <c r="B10" s="13" t="n"/>
    </row>
    <row r="12">
      <c r="A12" s="2">
        <f>"Both photos need to show "&amp;PhotoObject&amp;"."</f>
        <v/>
      </c>
    </row>
    <row r="13">
      <c r="A13" s="2" t="inlineStr">
        <is>
          <t>Type times like 3:42 PM. Paste photo links from the app, Drive or Photos.</t>
        </is>
      </c>
    </row>
  </sheetData>
  <dataValidations count="1">
    <dataValidation sqref="B4" showDropDown="0" showInputMessage="0" showErrorMessage="0" allowBlank="1" type="list">
      <formula1>=Members!$B$2:$B$301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2026-09-21T06:23:09Z</dcterms:created>
  <dcterms:modified xsi:type="dcterms:W3CDTF">2026-09-21T06:23:09Z</dcterms:modified>
</cp:coreProperties>
</file>